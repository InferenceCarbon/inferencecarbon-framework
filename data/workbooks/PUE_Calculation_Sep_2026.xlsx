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amesmanktelow/Downloads/"/>
    </mc:Choice>
  </mc:AlternateContent>
  <xr:revisionPtr revIDLastSave="0" documentId="8_{65F53E62-36EA-0F4C-B999-C87E2BE64C66}" xr6:coauthVersionLast="47" xr6:coauthVersionMax="47" xr10:uidLastSave="{00000000-0000-0000-0000-000000000000}"/>
  <bookViews>
    <workbookView xWindow="0" yWindow="600" windowWidth="28220" windowHeight="16760" tabRatio="500" xr2:uid="{00000000-000D-0000-FFFF-FFFF00000000}"/>
  </bookViews>
  <sheets>
    <sheet name="PU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H13" i="1" s="1"/>
  <c r="F11" i="1"/>
  <c r="F13" i="1" s="1"/>
  <c r="F14" i="1" s="1"/>
  <c r="B10" i="1"/>
  <c r="H9" i="1"/>
  <c r="F9" i="1"/>
  <c r="D9" i="1"/>
  <c r="H8" i="1"/>
  <c r="F8" i="1"/>
  <c r="D8" i="1"/>
  <c r="H7" i="1"/>
  <c r="F7" i="1"/>
  <c r="D7" i="1"/>
  <c r="H6" i="1"/>
  <c r="F6" i="1"/>
  <c r="D6" i="1"/>
  <c r="D11" i="1" s="1"/>
  <c r="D13" i="1" s="1"/>
  <c r="D14" i="1" s="1"/>
  <c r="H14" i="1" l="1"/>
</calcChain>
</file>

<file path=xl/sharedStrings.xml><?xml version="1.0" encoding="utf-8"?>
<sst xmlns="http://schemas.openxmlformats.org/spreadsheetml/2006/main" count="27" uniqueCount="27">
  <si>
    <t>OpenAI PUE Multiplier Calculation — InferenceCarbon framework v1.0.0 (data close 22 Aug 2026)</t>
  </si>
  <si>
    <t>Reproduces Table D1 (Appendix D.4). Inputs from paper Section 4.5 (routing) and Appendix A (PUE). Typed values are inputs; every other number is a formula.</t>
  </si>
  <si>
    <t>Provider</t>
  </si>
  <si>
    <t>Routing share</t>
  </si>
  <si>
    <t>PUE (Low)</t>
  </si>
  <si>
    <t>Contribution (Low)</t>
  </si>
  <si>
    <t>PUE (Central)</t>
  </si>
  <si>
    <t>Contribution (Central)</t>
  </si>
  <si>
    <t>PUE (High)</t>
  </si>
  <si>
    <t>Contribution (High)</t>
  </si>
  <si>
    <t>Microsoft Azure</t>
  </si>
  <si>
    <t>Oracle/Stargate</t>
  </si>
  <si>
    <t>Amazon Web Services</t>
  </si>
  <si>
    <t>Google Cloud Platform</t>
  </si>
  <si>
    <t>Routing share total</t>
  </si>
  <si>
    <t>Aggregated PUE</t>
  </si>
  <si>
    <t>Jegham anchor PUE (reversed out)</t>
  </si>
  <si>
    <t>Absolute PUE Multiplier (= Aggregated / 1.12)</t>
  </si>
  <si>
    <t>Relative PUE Multiplier (bounds around central)</t>
  </si>
  <si>
    <t>Routing shares: contract-value-weighted proxy, Section 4.5 (Azure $35.7B/yr, Stargate $60B/yr, AWS $17.9B/yr, GCP $39.0B/yr assumed midpoint). Shares sum to 99.9% due to rounding in the paper; contributions use the stated shares.</t>
  </si>
  <si>
    <t>Central Absolute PUE Multiplier feeds Table 6; Relative Multiplier bounds (P_low/P_high) feed Appendix D.6 and Table 8.</t>
  </si>
  <si>
    <t>Copyright (c) 2026 InferenceCarbon Ltd.</t>
  </si>
  <si>
    <t>Anchor PUE 1.12 is Jegham et al. [16] implicit Azure design PUE.</t>
  </si>
  <si>
    <t>Appendix A.1 [69]: operating PUE 1.16 (Americas, 2025)</t>
  </si>
  <si>
    <t>Appendix A.4 [66]: no operating disclosure; central 1.25 within Crusoe design range 1.2-1.4</t>
  </si>
  <si>
    <t>Appendix A.3 [70]: global 2024 (2025 report states 1.14)</t>
  </si>
  <si>
    <t>Appendix A.2 [37]: fleet-wide 2025 (1.09 in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</si>
</sst>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3" x14ac:knownFonts="1">
    <font>
      <sz val="11"/>
      <color theme="1"/>
      <name val="Calibri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Normal="100" workbookViewId="0">
      <selection activeCell="I10" sqref="I10"/>
    </sheetView>
  </sheetViews>
  <sheetFormatPr baseColWidth="10" defaultColWidth="14.5" defaultRowHeight="15" customHeight="1" x14ac:dyDescent="0.2"/>
  <cols>
    <col min="1" max="1" width="42" customWidth="1"/>
    <col min="2" max="2" width="13" customWidth="1"/>
    <col min="3" max="3" width="10" customWidth="1"/>
    <col min="4" max="4" width="16" customWidth="1"/>
    <col min="5" max="5" width="12" customWidth="1"/>
    <col min="6" max="6" width="19" customWidth="1"/>
    <col min="7" max="7" width="10" customWidth="1"/>
    <col min="8" max="8" width="16" customWidth="1"/>
    <col min="9" max="9" width="80" customWidth="1"/>
    <col min="10" max="26" width="8.6640625" customWidth="1"/>
  </cols>
  <sheetData>
    <row r="1" spans="1:9" ht="1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5" customHeight="1" x14ac:dyDescent="0.2">
      <c r="A3" s="2" t="s">
        <v>22</v>
      </c>
      <c r="B3" s="2"/>
      <c r="C3" s="2"/>
      <c r="D3" s="2"/>
      <c r="E3" s="2"/>
      <c r="F3" s="2"/>
      <c r="G3" s="2"/>
      <c r="H3" s="2"/>
      <c r="I3" s="2"/>
    </row>
    <row r="4" spans="1:9" ht="15" customHeight="1" x14ac:dyDescent="0.2">
      <c r="A4" s="2"/>
      <c r="B4" s="2"/>
      <c r="C4" s="2"/>
      <c r="D4" s="2"/>
      <c r="E4" s="2"/>
      <c r="F4" s="2"/>
      <c r="G4" s="2"/>
      <c r="H4" s="2"/>
      <c r="I4" s="2"/>
    </row>
    <row r="5" spans="1:9" ht="15" customHeight="1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2"/>
    </row>
    <row r="6" spans="1:9" ht="15" customHeight="1" x14ac:dyDescent="0.2">
      <c r="A6" s="2" t="s">
        <v>10</v>
      </c>
      <c r="B6" s="3">
        <v>0.23400000000000001</v>
      </c>
      <c r="C6" s="4">
        <v>1.1599999999999999</v>
      </c>
      <c r="D6" s="5">
        <f>B6*C6</f>
        <v>0.27144000000000001</v>
      </c>
      <c r="E6" s="4">
        <v>1.1599999999999999</v>
      </c>
      <c r="F6" s="5">
        <f>B6*E6</f>
        <v>0.27144000000000001</v>
      </c>
      <c r="G6" s="4">
        <v>1.1599999999999999</v>
      </c>
      <c r="H6" s="5">
        <f>B6*G6</f>
        <v>0.27144000000000001</v>
      </c>
      <c r="I6" s="2" t="s">
        <v>23</v>
      </c>
    </row>
    <row r="7" spans="1:9" ht="15" customHeight="1" x14ac:dyDescent="0.2">
      <c r="A7" s="2" t="s">
        <v>11</v>
      </c>
      <c r="B7" s="3">
        <v>0.39300000000000002</v>
      </c>
      <c r="C7" s="4">
        <v>1.1000000000000001</v>
      </c>
      <c r="D7" s="5">
        <f>B7*C7</f>
        <v>0.43230000000000007</v>
      </c>
      <c r="E7" s="4">
        <v>1.25</v>
      </c>
      <c r="F7" s="5">
        <f>B7*E7</f>
        <v>0.49125000000000002</v>
      </c>
      <c r="G7" s="4">
        <v>1.35</v>
      </c>
      <c r="H7" s="5">
        <f>B7*G7</f>
        <v>0.53055000000000008</v>
      </c>
      <c r="I7" s="2" t="s">
        <v>24</v>
      </c>
    </row>
    <row r="8" spans="1:9" ht="15" customHeight="1" x14ac:dyDescent="0.2">
      <c r="A8" s="2" t="s">
        <v>12</v>
      </c>
      <c r="B8" s="3">
        <v>0.11700000000000001</v>
      </c>
      <c r="C8" s="4">
        <v>1.1499999999999999</v>
      </c>
      <c r="D8" s="5">
        <f>B8*C8</f>
        <v>0.13455</v>
      </c>
      <c r="E8" s="4">
        <v>1.1499999999999999</v>
      </c>
      <c r="F8" s="5">
        <f>B8*E8</f>
        <v>0.13455</v>
      </c>
      <c r="G8" s="4">
        <v>1.1499999999999999</v>
      </c>
      <c r="H8" s="5">
        <f>B8*G8</f>
        <v>0.13455</v>
      </c>
      <c r="I8" s="2" t="s">
        <v>25</v>
      </c>
    </row>
    <row r="9" spans="1:9" ht="15" customHeight="1" x14ac:dyDescent="0.2">
      <c r="A9" s="2" t="s">
        <v>13</v>
      </c>
      <c r="B9" s="3">
        <v>0.255</v>
      </c>
      <c r="C9" s="4">
        <v>1.0900000000000001</v>
      </c>
      <c r="D9" s="5">
        <f>B9*C9</f>
        <v>0.27795000000000003</v>
      </c>
      <c r="E9" s="4">
        <v>1.0900000000000001</v>
      </c>
      <c r="F9" s="5">
        <f>B9*E9</f>
        <v>0.27795000000000003</v>
      </c>
      <c r="G9" s="4">
        <v>1.0900000000000001</v>
      </c>
      <c r="H9" s="5">
        <f>B9*G9</f>
        <v>0.27795000000000003</v>
      </c>
      <c r="I9" s="2" t="s">
        <v>26</v>
      </c>
    </row>
    <row r="10" spans="1:9" ht="15" customHeight="1" x14ac:dyDescent="0.2">
      <c r="A10" s="1" t="s">
        <v>14</v>
      </c>
      <c r="B10" s="3">
        <f>SUM(B6:B9)</f>
        <v>0.999</v>
      </c>
      <c r="C10" s="2"/>
      <c r="D10" s="2"/>
      <c r="E10" s="2"/>
      <c r="F10" s="2"/>
      <c r="G10" s="2"/>
      <c r="H10" s="2"/>
      <c r="I10" s="2"/>
    </row>
    <row r="11" spans="1:9" ht="15" customHeight="1" x14ac:dyDescent="0.2">
      <c r="A11" s="1" t="s">
        <v>15</v>
      </c>
      <c r="B11" s="2"/>
      <c r="C11" s="2"/>
      <c r="D11" s="5">
        <f>SUM(D6:D9)</f>
        <v>1.1162399999999999</v>
      </c>
      <c r="E11" s="2"/>
      <c r="F11" s="5">
        <f>SUM(F6:F9)</f>
        <v>1.1751900000000002</v>
      </c>
      <c r="G11" s="2"/>
      <c r="H11" s="5">
        <f>SUM(H6:H9)</f>
        <v>1.2144900000000001</v>
      </c>
      <c r="I11" s="2"/>
    </row>
    <row r="12" spans="1:9" ht="15" customHeight="1" x14ac:dyDescent="0.2">
      <c r="A12" s="1" t="s">
        <v>16</v>
      </c>
      <c r="B12" s="4">
        <v>1.1200000000000001</v>
      </c>
      <c r="C12" s="2"/>
      <c r="D12" s="2"/>
      <c r="E12" s="2"/>
      <c r="F12" s="2"/>
      <c r="G12" s="2"/>
      <c r="H12" s="2"/>
      <c r="I12" s="2"/>
    </row>
    <row r="13" spans="1:9" ht="15" customHeight="1" x14ac:dyDescent="0.2">
      <c r="A13" s="1" t="s">
        <v>17</v>
      </c>
      <c r="B13" s="2"/>
      <c r="C13" s="2"/>
      <c r="D13" s="4">
        <f>D11/$B$12</f>
        <v>0.99664285714285694</v>
      </c>
      <c r="E13" s="2"/>
      <c r="F13" s="4">
        <f>F11/$B$12</f>
        <v>1.0492767857142857</v>
      </c>
      <c r="G13" s="2"/>
      <c r="H13" s="4">
        <f>H11/$B$12</f>
        <v>1.0843660714285714</v>
      </c>
      <c r="I13" s="2"/>
    </row>
    <row r="14" spans="1:9" ht="15" customHeight="1" x14ac:dyDescent="0.2">
      <c r="A14" s="1" t="s">
        <v>18</v>
      </c>
      <c r="B14" s="2"/>
      <c r="C14" s="2"/>
      <c r="D14" s="4">
        <f>D13/$F$13</f>
        <v>0.94983789855257428</v>
      </c>
      <c r="E14" s="2"/>
      <c r="F14" s="4">
        <f>F13/$F$13</f>
        <v>1</v>
      </c>
      <c r="G14" s="2"/>
      <c r="H14" s="4">
        <f>H13/$F$13</f>
        <v>1.0334414009649504</v>
      </c>
      <c r="I14" s="2"/>
    </row>
    <row r="15" spans="1:9" ht="15" customHeight="1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ht="15" customHeight="1" x14ac:dyDescent="0.2">
      <c r="A16" s="2" t="s">
        <v>19</v>
      </c>
      <c r="B16" s="2"/>
      <c r="C16" s="2"/>
      <c r="D16" s="2"/>
      <c r="E16" s="2"/>
      <c r="F16" s="2"/>
      <c r="G16" s="2"/>
      <c r="H16" s="2"/>
      <c r="I16" s="2"/>
    </row>
    <row r="17" spans="1:9" ht="15" customHeight="1" x14ac:dyDescent="0.2">
      <c r="A17" s="2" t="s">
        <v>20</v>
      </c>
      <c r="B17" s="2"/>
      <c r="C17" s="2"/>
      <c r="D17" s="2"/>
      <c r="E17" s="2"/>
      <c r="F17" s="2"/>
      <c r="G17" s="2"/>
      <c r="H17" s="2"/>
      <c r="I17" s="2"/>
    </row>
    <row r="18" spans="1:9" ht="15" customHeight="1" x14ac:dyDescent="0.2">
      <c r="A18" s="2" t="s">
        <v>21</v>
      </c>
      <c r="B18" s="2"/>
      <c r="C18" s="2"/>
      <c r="D18" s="2"/>
      <c r="E18" s="2"/>
      <c r="F18" s="2"/>
      <c r="G18" s="2"/>
      <c r="H18" s="2"/>
      <c r="I18" s="2"/>
    </row>
    <row r="21" spans="1:9" ht="15.75" customHeight="1" x14ac:dyDescent="0.2"/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Manktelow</cp:lastModifiedBy>
  <cp:revision>0</cp:revision>
  <dcterms:created xsi:type="dcterms:W3CDTF">2026-09-21T12:44:15Z</dcterms:created>
  <dcterms:modified xsi:type="dcterms:W3CDTF">2026-09-23T17:47:46Z</dcterms:modified>
  <dc:language>en-GB</dc:language>
</cp:coreProperties>
</file>