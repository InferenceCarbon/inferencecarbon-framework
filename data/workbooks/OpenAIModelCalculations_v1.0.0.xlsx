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jamesmanktelow/Downloads/"/>
    </mc:Choice>
  </mc:AlternateContent>
  <xr:revisionPtr revIDLastSave="0" documentId="8_{C946ED35-3F3E-1E4D-ADC7-A663814C7CDE}" xr6:coauthVersionLast="47" xr6:coauthVersionMax="47" xr10:uidLastSave="{00000000-0000-0000-0000-000000000000}"/>
  <bookViews>
    <workbookView xWindow="7820" yWindow="600" windowWidth="32420" windowHeight="26700" tabRatio="500" xr2:uid="{00000000-000D-0000-FFFF-FFFF00000000}"/>
  </bookViews>
  <sheets>
    <sheet name="Assumptions" sheetId="1" r:id="rId1"/>
    <sheet name="Corpus" sheetId="3" r:id="rId2"/>
    <sheet name="Grid Intensity Data" sheetId="2" r:id="rId3"/>
    <sheet name="Table 1" sheetId="9" r:id="rId4"/>
    <sheet name="Table 6" sheetId="4" r:id="rId5"/>
    <sheet name="Table 7" sheetId="5" r:id="rId6"/>
    <sheet name="C_Low" sheetId="6" r:id="rId7"/>
    <sheet name="C_High" sheetId="7" r:id="rId8"/>
    <sheet name="Table 8" sheetId="8" r:id="rId9"/>
    <sheet name="Table 8 - Log Widths" sheetId="11" r:id="rId10"/>
    <sheet name="Table B1" sheetId="10" r:id="rId11"/>
    <sheet name="Bootstrap" sheetId="12" r:id="rId12"/>
    <sheet name="Pinching" sheetId="13" r:id="rId13"/>
    <sheet name="Ratio Envelopes" sheetId="14" r:id="rId14"/>
    <sheet name="Shape Correction" sheetId="15" r:id="rId1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7" i="15" l="1"/>
  <c r="C6" i="15"/>
  <c r="C9" i="15" s="1"/>
  <c r="B6" i="15"/>
  <c r="B9" i="15" s="1"/>
  <c r="O13" i="14"/>
  <c r="N13" i="14"/>
  <c r="O12" i="14"/>
  <c r="N12" i="14"/>
  <c r="O11" i="14"/>
  <c r="N11" i="14"/>
  <c r="O10" i="14"/>
  <c r="N10" i="14"/>
  <c r="O9" i="14"/>
  <c r="N9" i="14"/>
  <c r="O8" i="14"/>
  <c r="N8" i="14"/>
  <c r="O7" i="14"/>
  <c r="N7" i="14"/>
  <c r="O6" i="14"/>
  <c r="N6" i="14"/>
  <c r="O5" i="14"/>
  <c r="N5" i="14"/>
  <c r="O4" i="14"/>
  <c r="N4" i="14"/>
  <c r="O3" i="14"/>
  <c r="N3" i="14"/>
  <c r="N49" i="13" a="1"/>
  <c r="N49" i="13" s="1"/>
  <c r="A49" i="13"/>
  <c r="N48" i="13" a="1"/>
  <c r="N48" i="13" s="1"/>
  <c r="A48" i="13"/>
  <c r="N47" i="13" a="1"/>
  <c r="N47" i="13" s="1"/>
  <c r="A47" i="13"/>
  <c r="A46" i="13"/>
  <c r="N46" i="13" s="1" a="1"/>
  <c r="N46" i="13" s="1"/>
  <c r="N45" i="13" a="1"/>
  <c r="N45" i="13" s="1"/>
  <c r="A45" i="13"/>
  <c r="N44" i="13" a="1"/>
  <c r="N44" i="13" s="1"/>
  <c r="A44" i="13"/>
  <c r="N43" i="13" a="1"/>
  <c r="N43" i="13" s="1"/>
  <c r="A43" i="13"/>
  <c r="A42" i="13"/>
  <c r="N42" i="13" s="1" a="1"/>
  <c r="N42" i="13" s="1"/>
  <c r="N41" i="13" a="1"/>
  <c r="N41" i="13"/>
  <c r="A41" i="13"/>
  <c r="N40" i="13" a="1"/>
  <c r="N40" i="13" s="1"/>
  <c r="A40" i="13"/>
  <c r="N39" i="13" a="1"/>
  <c r="N39" i="13" s="1"/>
  <c r="A39" i="13"/>
  <c r="N38" i="13" a="1"/>
  <c r="N38" i="13" s="1"/>
  <c r="A38" i="13"/>
  <c r="N37" i="13" a="1"/>
  <c r="N37" i="13" s="1"/>
  <c r="A37" i="13"/>
  <c r="N36" i="13" a="1"/>
  <c r="N36" i="13" s="1"/>
  <c r="A36" i="13"/>
  <c r="N35" i="13" a="1"/>
  <c r="N35" i="13" s="1"/>
  <c r="A35" i="13"/>
  <c r="A34" i="13"/>
  <c r="N34" i="13" s="1" a="1"/>
  <c r="N34" i="13" s="1"/>
  <c r="A33" i="13"/>
  <c r="N33" i="13" s="1" a="1"/>
  <c r="N33" i="13" s="1"/>
  <c r="N32" i="13" a="1"/>
  <c r="N32" i="13" s="1"/>
  <c r="A32" i="13"/>
  <c r="A31" i="13"/>
  <c r="N31" i="13" s="1" a="1"/>
  <c r="N31" i="13" s="1"/>
  <c r="A30" i="13"/>
  <c r="N30" i="13" s="1" a="1"/>
  <c r="N30" i="13" s="1"/>
  <c r="A29" i="13"/>
  <c r="N29" i="13" s="1" a="1"/>
  <c r="N29" i="13" s="1"/>
  <c r="A28" i="13"/>
  <c r="N28" i="13" s="1" a="1"/>
  <c r="N28" i="13" s="1"/>
  <c r="A27" i="13"/>
  <c r="N27" i="13" s="1" a="1"/>
  <c r="N27" i="13" s="1"/>
  <c r="A26" i="13"/>
  <c r="N26" i="13" s="1" a="1"/>
  <c r="N26" i="13" s="1"/>
  <c r="N25" i="13" a="1"/>
  <c r="N25" i="13"/>
  <c r="A25" i="13"/>
  <c r="N24" i="13" a="1"/>
  <c r="N24" i="13" s="1"/>
  <c r="A24" i="13"/>
  <c r="N23" i="13" a="1"/>
  <c r="N23" i="13" s="1"/>
  <c r="A23" i="13"/>
  <c r="N22" i="13" a="1"/>
  <c r="N22" i="13"/>
  <c r="A22" i="13"/>
  <c r="N21" i="13" a="1"/>
  <c r="N21" i="13"/>
  <c r="A21" i="13"/>
  <c r="N20" i="13" a="1"/>
  <c r="N20" i="13" s="1"/>
  <c r="A20" i="13"/>
  <c r="N19" i="13" a="1"/>
  <c r="N19" i="13" s="1"/>
  <c r="A19" i="13"/>
  <c r="N18" i="13" a="1"/>
  <c r="N18" i="13"/>
  <c r="A18" i="13"/>
  <c r="N17" i="13" a="1"/>
  <c r="N17" i="13"/>
  <c r="A17" i="13"/>
  <c r="N16" i="13" a="1"/>
  <c r="N16" i="13" s="1"/>
  <c r="A16" i="13"/>
  <c r="N15" i="13" a="1"/>
  <c r="N15" i="13" s="1"/>
  <c r="A15" i="13"/>
  <c r="A14" i="13"/>
  <c r="N14" i="13" s="1" a="1"/>
  <c r="N14" i="13" s="1"/>
  <c r="A13" i="13"/>
  <c r="N13" i="13" s="1" a="1"/>
  <c r="N13" i="13" s="1"/>
  <c r="A12" i="13"/>
  <c r="N12" i="13" s="1" a="1"/>
  <c r="N12" i="13" s="1"/>
  <c r="N11" i="13" a="1"/>
  <c r="N11" i="13"/>
  <c r="A11" i="13"/>
  <c r="A10" i="13"/>
  <c r="N10" i="13" s="1" a="1"/>
  <c r="N10" i="13" s="1"/>
  <c r="A9" i="13"/>
  <c r="N9" i="13" s="1" a="1"/>
  <c r="N9" i="13" s="1"/>
  <c r="A8" i="13"/>
  <c r="N8" i="13" s="1" a="1"/>
  <c r="N8" i="13" s="1"/>
  <c r="N7" i="13" a="1"/>
  <c r="N7" i="13"/>
  <c r="A7" i="13"/>
  <c r="A6" i="13"/>
  <c r="N6" i="13" s="1" a="1"/>
  <c r="N6" i="13" s="1"/>
  <c r="A5" i="13"/>
  <c r="N5" i="13" s="1" a="1"/>
  <c r="N5" i="13" s="1"/>
  <c r="A4" i="13"/>
  <c r="N4" i="13" s="1" a="1"/>
  <c r="N4" i="13" s="1"/>
  <c r="N3" i="13" a="1"/>
  <c r="N3" i="13"/>
  <c r="A3" i="13"/>
  <c r="H51" i="12"/>
  <c r="N49" i="12"/>
  <c r="M49" i="12"/>
  <c r="G49" i="12"/>
  <c r="F49" i="12"/>
  <c r="N48" i="12"/>
  <c r="M48" i="12"/>
  <c r="G48" i="12"/>
  <c r="F48" i="12"/>
  <c r="N47" i="12"/>
  <c r="M47" i="12"/>
  <c r="G47" i="12"/>
  <c r="F47" i="12"/>
  <c r="N46" i="12"/>
  <c r="M46" i="12"/>
  <c r="G46" i="12"/>
  <c r="F46" i="12"/>
  <c r="N45" i="12"/>
  <c r="M45" i="12"/>
  <c r="G45" i="12"/>
  <c r="F45" i="12"/>
  <c r="N44" i="12"/>
  <c r="M44" i="12"/>
  <c r="G44" i="12"/>
  <c r="F44" i="12"/>
  <c r="N43" i="12"/>
  <c r="M43" i="12"/>
  <c r="G43" i="12"/>
  <c r="F43" i="12"/>
  <c r="N42" i="12"/>
  <c r="M42" i="12"/>
  <c r="G42" i="12"/>
  <c r="F42" i="12"/>
  <c r="N41" i="12"/>
  <c r="M41" i="12"/>
  <c r="G41" i="12"/>
  <c r="F41" i="12"/>
  <c r="N40" i="12"/>
  <c r="M40" i="12"/>
  <c r="G40" i="12"/>
  <c r="F40" i="12"/>
  <c r="N39" i="12"/>
  <c r="M39" i="12"/>
  <c r="G39" i="12"/>
  <c r="F39" i="12"/>
  <c r="N38" i="12"/>
  <c r="M38" i="12"/>
  <c r="G38" i="12"/>
  <c r="F38" i="12"/>
  <c r="N37" i="12"/>
  <c r="M37" i="12"/>
  <c r="G37" i="12"/>
  <c r="F37" i="12"/>
  <c r="N36" i="12"/>
  <c r="M36" i="12"/>
  <c r="G36" i="12"/>
  <c r="F36" i="12"/>
  <c r="N35" i="12"/>
  <c r="M35" i="12"/>
  <c r="G35" i="12"/>
  <c r="F35" i="12"/>
  <c r="N34" i="12"/>
  <c r="M34" i="12"/>
  <c r="G34" i="12"/>
  <c r="F34" i="12"/>
  <c r="N33" i="12"/>
  <c r="M33" i="12"/>
  <c r="G33" i="12"/>
  <c r="F33" i="12"/>
  <c r="N32" i="12"/>
  <c r="M32" i="12"/>
  <c r="G32" i="12"/>
  <c r="F32" i="12"/>
  <c r="N31" i="12"/>
  <c r="M31" i="12"/>
  <c r="G31" i="12"/>
  <c r="F31" i="12"/>
  <c r="N30" i="12"/>
  <c r="M30" i="12"/>
  <c r="G30" i="12"/>
  <c r="F30" i="12"/>
  <c r="N29" i="12"/>
  <c r="M29" i="12"/>
  <c r="G29" i="12"/>
  <c r="F29" i="12"/>
  <c r="N28" i="12"/>
  <c r="M28" i="12"/>
  <c r="G28" i="12"/>
  <c r="F28" i="12"/>
  <c r="N27" i="12"/>
  <c r="M27" i="12"/>
  <c r="G27" i="12"/>
  <c r="F27" i="12"/>
  <c r="N26" i="12"/>
  <c r="M26" i="12"/>
  <c r="G26" i="12"/>
  <c r="F26" i="12"/>
  <c r="N25" i="12"/>
  <c r="M25" i="12"/>
  <c r="G25" i="12"/>
  <c r="F25" i="12"/>
  <c r="N24" i="12"/>
  <c r="M24" i="12"/>
  <c r="G24" i="12"/>
  <c r="F24" i="12"/>
  <c r="N23" i="12"/>
  <c r="M23" i="12"/>
  <c r="G23" i="12"/>
  <c r="F23" i="12"/>
  <c r="N22" i="12"/>
  <c r="M22" i="12"/>
  <c r="G22" i="12"/>
  <c r="F22" i="12"/>
  <c r="N21" i="12"/>
  <c r="M21" i="12"/>
  <c r="G21" i="12"/>
  <c r="F21" i="12"/>
  <c r="N20" i="12"/>
  <c r="M20" i="12"/>
  <c r="G20" i="12"/>
  <c r="F20" i="12"/>
  <c r="N19" i="12"/>
  <c r="M19" i="12"/>
  <c r="G19" i="12"/>
  <c r="F19" i="12"/>
  <c r="N18" i="12"/>
  <c r="M18" i="12"/>
  <c r="G18" i="12"/>
  <c r="F18" i="12"/>
  <c r="N17" i="12"/>
  <c r="M17" i="12"/>
  <c r="G17" i="12"/>
  <c r="F17" i="12"/>
  <c r="N16" i="12"/>
  <c r="M16" i="12"/>
  <c r="G16" i="12"/>
  <c r="F16" i="12"/>
  <c r="N15" i="12"/>
  <c r="M15" i="12"/>
  <c r="G15" i="12"/>
  <c r="F15" i="12"/>
  <c r="N14" i="12"/>
  <c r="M14" i="12"/>
  <c r="G14" i="12"/>
  <c r="F14" i="12"/>
  <c r="N13" i="12"/>
  <c r="M13" i="12"/>
  <c r="G13" i="12"/>
  <c r="F13" i="12"/>
  <c r="N12" i="12"/>
  <c r="M12" i="12"/>
  <c r="G12" i="12"/>
  <c r="F12" i="12"/>
  <c r="N11" i="12"/>
  <c r="M11" i="12"/>
  <c r="G11" i="12"/>
  <c r="F11" i="12"/>
  <c r="N10" i="12"/>
  <c r="M10" i="12"/>
  <c r="G10" i="12"/>
  <c r="F10" i="12"/>
  <c r="N9" i="12"/>
  <c r="M9" i="12"/>
  <c r="G9" i="12"/>
  <c r="F9" i="12"/>
  <c r="N8" i="12"/>
  <c r="M8" i="12"/>
  <c r="G8" i="12"/>
  <c r="F8" i="12"/>
  <c r="N7" i="12"/>
  <c r="M7" i="12"/>
  <c r="G7" i="12"/>
  <c r="F7" i="12"/>
  <c r="N6" i="12"/>
  <c r="M6" i="12"/>
  <c r="G6" i="12"/>
  <c r="F6" i="12"/>
  <c r="N5" i="12"/>
  <c r="M5" i="12"/>
  <c r="G5" i="12"/>
  <c r="F5" i="12"/>
  <c r="N4" i="12"/>
  <c r="M4" i="12"/>
  <c r="G4" i="12"/>
  <c r="F4" i="12"/>
  <c r="N3" i="12"/>
  <c r="M3" i="12"/>
  <c r="G3" i="12"/>
  <c r="F3" i="12"/>
  <c r="F49" i="11"/>
  <c r="E49" i="11"/>
  <c r="D49" i="11"/>
  <c r="C49" i="11"/>
  <c r="B49" i="11"/>
  <c r="G49" i="11" s="1"/>
  <c r="F48" i="11"/>
  <c r="E48" i="11"/>
  <c r="D48" i="11"/>
  <c r="C48" i="11"/>
  <c r="B48" i="11"/>
  <c r="G48" i="11" s="1"/>
  <c r="F47" i="11"/>
  <c r="E47" i="11"/>
  <c r="D47" i="11"/>
  <c r="C47" i="11"/>
  <c r="B47" i="11"/>
  <c r="G46" i="11"/>
  <c r="F46" i="11"/>
  <c r="E46" i="11"/>
  <c r="D46" i="11"/>
  <c r="C46" i="11"/>
  <c r="B46" i="11"/>
  <c r="F45" i="11"/>
  <c r="G45" i="11" s="1"/>
  <c r="E45" i="11"/>
  <c r="D45" i="11"/>
  <c r="C45" i="11"/>
  <c r="B45" i="11"/>
  <c r="F44" i="11"/>
  <c r="E44" i="11"/>
  <c r="D44" i="11"/>
  <c r="C44" i="11"/>
  <c r="B44" i="11"/>
  <c r="F43" i="11"/>
  <c r="E43" i="11"/>
  <c r="D43" i="11"/>
  <c r="C43" i="11"/>
  <c r="G43" i="11" s="1"/>
  <c r="B43" i="11"/>
  <c r="F42" i="11"/>
  <c r="E42" i="11"/>
  <c r="D42" i="11"/>
  <c r="C42" i="11"/>
  <c r="B42" i="11"/>
  <c r="F41" i="11"/>
  <c r="E41" i="11"/>
  <c r="D41" i="11"/>
  <c r="C41" i="11"/>
  <c r="B41" i="11"/>
  <c r="F40" i="11"/>
  <c r="E40" i="11"/>
  <c r="D40" i="11"/>
  <c r="C40" i="11"/>
  <c r="B40" i="11"/>
  <c r="G40" i="11" s="1"/>
  <c r="H39" i="11"/>
  <c r="B39" i="13" s="1"/>
  <c r="G39" i="11"/>
  <c r="F39" i="11"/>
  <c r="E39" i="11"/>
  <c r="D39" i="11"/>
  <c r="C39" i="11"/>
  <c r="B39" i="11"/>
  <c r="G38" i="11"/>
  <c r="F38" i="11"/>
  <c r="E38" i="11"/>
  <c r="D38" i="11"/>
  <c r="C38" i="11"/>
  <c r="B38" i="11"/>
  <c r="F37" i="11"/>
  <c r="E37" i="11"/>
  <c r="G37" i="11" s="1"/>
  <c r="D37" i="11"/>
  <c r="C37" i="11"/>
  <c r="B37" i="11"/>
  <c r="F36" i="11"/>
  <c r="E36" i="11"/>
  <c r="D36" i="11"/>
  <c r="C36" i="11"/>
  <c r="B36" i="11"/>
  <c r="G36" i="11" s="1"/>
  <c r="F35" i="11"/>
  <c r="E35" i="11"/>
  <c r="D35" i="11"/>
  <c r="C35" i="11"/>
  <c r="B35" i="11"/>
  <c r="F34" i="11"/>
  <c r="E34" i="11"/>
  <c r="D34" i="11"/>
  <c r="C34" i="11"/>
  <c r="B34" i="11"/>
  <c r="F33" i="11"/>
  <c r="E33" i="11"/>
  <c r="D33" i="11"/>
  <c r="C33" i="11"/>
  <c r="B33" i="11"/>
  <c r="G33" i="11" s="1"/>
  <c r="F32" i="11"/>
  <c r="E32" i="11"/>
  <c r="D32" i="11"/>
  <c r="C32" i="11"/>
  <c r="B32" i="11"/>
  <c r="G31" i="11"/>
  <c r="F31" i="11"/>
  <c r="E31" i="11"/>
  <c r="D31" i="11"/>
  <c r="C31" i="11"/>
  <c r="B31" i="11"/>
  <c r="F30" i="11"/>
  <c r="E30" i="11"/>
  <c r="D30" i="11"/>
  <c r="C30" i="11"/>
  <c r="B30" i="11"/>
  <c r="F29" i="11"/>
  <c r="E29" i="11"/>
  <c r="D29" i="11"/>
  <c r="C29" i="11"/>
  <c r="B29" i="11"/>
  <c r="G29" i="11" s="1"/>
  <c r="H28" i="11"/>
  <c r="B28" i="13" s="1"/>
  <c r="F28" i="11"/>
  <c r="E28" i="11"/>
  <c r="D28" i="11"/>
  <c r="C28" i="11"/>
  <c r="B28" i="11"/>
  <c r="G28" i="11" s="1"/>
  <c r="G27" i="11"/>
  <c r="F27" i="11"/>
  <c r="E27" i="11"/>
  <c r="D27" i="11"/>
  <c r="C27" i="11"/>
  <c r="B27" i="11"/>
  <c r="F26" i="11"/>
  <c r="G26" i="11" s="1"/>
  <c r="E26" i="11"/>
  <c r="D26" i="11"/>
  <c r="C26" i="11"/>
  <c r="B26" i="11"/>
  <c r="F25" i="11"/>
  <c r="E25" i="11"/>
  <c r="D25" i="11"/>
  <c r="C25" i="11"/>
  <c r="B25" i="11"/>
  <c r="F24" i="11"/>
  <c r="E24" i="11"/>
  <c r="D24" i="11"/>
  <c r="C24" i="11"/>
  <c r="B24" i="11"/>
  <c r="G24" i="11" s="1"/>
  <c r="F23" i="11"/>
  <c r="E23" i="11"/>
  <c r="D23" i="11"/>
  <c r="C23" i="11"/>
  <c r="B23" i="11"/>
  <c r="F22" i="11"/>
  <c r="E22" i="11"/>
  <c r="D22" i="11"/>
  <c r="C22" i="11"/>
  <c r="B22" i="11"/>
  <c r="G22" i="11" s="1"/>
  <c r="F21" i="11"/>
  <c r="E21" i="11"/>
  <c r="D21" i="11"/>
  <c r="C21" i="11"/>
  <c r="B21" i="11"/>
  <c r="F20" i="11"/>
  <c r="E20" i="11"/>
  <c r="D20" i="11"/>
  <c r="C20" i="11"/>
  <c r="B20" i="11"/>
  <c r="G20" i="11" s="1"/>
  <c r="H19" i="11"/>
  <c r="B19" i="13" s="1"/>
  <c r="G19" i="11"/>
  <c r="F19" i="11"/>
  <c r="E19" i="11"/>
  <c r="D19" i="11"/>
  <c r="C19" i="11"/>
  <c r="B19" i="11"/>
  <c r="G18" i="11"/>
  <c r="F18" i="11"/>
  <c r="E18" i="11"/>
  <c r="D18" i="11"/>
  <c r="C18" i="11"/>
  <c r="B18" i="11"/>
  <c r="F17" i="11"/>
  <c r="E17" i="11"/>
  <c r="D17" i="11"/>
  <c r="C17" i="11"/>
  <c r="B17" i="11"/>
  <c r="F16" i="11"/>
  <c r="E16" i="11"/>
  <c r="D16" i="11"/>
  <c r="C16" i="11"/>
  <c r="B16" i="11"/>
  <c r="G16" i="11" s="1"/>
  <c r="H15" i="11"/>
  <c r="B15" i="13" s="1"/>
  <c r="F15" i="11"/>
  <c r="E15" i="11"/>
  <c r="D15" i="11"/>
  <c r="C15" i="11"/>
  <c r="B15" i="11"/>
  <c r="G15" i="11" s="1"/>
  <c r="G14" i="11"/>
  <c r="F14" i="11"/>
  <c r="E14" i="11"/>
  <c r="D14" i="11"/>
  <c r="C14" i="11"/>
  <c r="B14" i="11"/>
  <c r="F13" i="11"/>
  <c r="G13" i="11" s="1"/>
  <c r="E13" i="11"/>
  <c r="D13" i="11"/>
  <c r="C13" i="11"/>
  <c r="B13" i="11"/>
  <c r="F12" i="11"/>
  <c r="E12" i="11"/>
  <c r="D12" i="11"/>
  <c r="C12" i="11"/>
  <c r="B12" i="11"/>
  <c r="F11" i="11"/>
  <c r="E11" i="11"/>
  <c r="D11" i="11"/>
  <c r="C11" i="11"/>
  <c r="G11" i="11" s="1"/>
  <c r="B11" i="11"/>
  <c r="F10" i="11"/>
  <c r="E10" i="11"/>
  <c r="D10" i="11"/>
  <c r="C10" i="11"/>
  <c r="B10" i="11"/>
  <c r="G10" i="11" s="1"/>
  <c r="F9" i="11"/>
  <c r="E9" i="11"/>
  <c r="D9" i="11"/>
  <c r="C9" i="11"/>
  <c r="B9" i="11"/>
  <c r="F8" i="11"/>
  <c r="E8" i="11"/>
  <c r="D8" i="11"/>
  <c r="C8" i="11"/>
  <c r="B8" i="11"/>
  <c r="G8" i="11" s="1"/>
  <c r="F7" i="11"/>
  <c r="E7" i="11"/>
  <c r="G7" i="11" s="1"/>
  <c r="D7" i="11"/>
  <c r="C7" i="11"/>
  <c r="B7" i="11"/>
  <c r="H6" i="11"/>
  <c r="B6" i="13" s="1"/>
  <c r="G6" i="11"/>
  <c r="F6" i="11"/>
  <c r="E6" i="11"/>
  <c r="D6" i="11"/>
  <c r="C6" i="11"/>
  <c r="B6" i="11"/>
  <c r="F5" i="11"/>
  <c r="E5" i="11"/>
  <c r="D5" i="11"/>
  <c r="C5" i="11"/>
  <c r="B5" i="11"/>
  <c r="F4" i="11"/>
  <c r="E4" i="11"/>
  <c r="D4" i="11"/>
  <c r="C4" i="11"/>
  <c r="B4" i="11"/>
  <c r="F3" i="11"/>
  <c r="E3" i="11"/>
  <c r="D3" i="11"/>
  <c r="C3" i="11"/>
  <c r="B3" i="11"/>
  <c r="H49" i="7"/>
  <c r="G49" i="7"/>
  <c r="F49" i="7"/>
  <c r="I49" i="7" s="1"/>
  <c r="E49" i="7"/>
  <c r="D49" i="7"/>
  <c r="C49" i="7"/>
  <c r="H48" i="7"/>
  <c r="G48" i="7"/>
  <c r="E48" i="7"/>
  <c r="D48" i="7"/>
  <c r="C48" i="7"/>
  <c r="H47" i="7"/>
  <c r="G47" i="7"/>
  <c r="E47" i="7"/>
  <c r="D47" i="7"/>
  <c r="C47" i="7"/>
  <c r="H46" i="7"/>
  <c r="G46" i="7"/>
  <c r="E46" i="7"/>
  <c r="D46" i="7"/>
  <c r="C46" i="7"/>
  <c r="H45" i="7"/>
  <c r="G45" i="7"/>
  <c r="E45" i="7"/>
  <c r="D45" i="7"/>
  <c r="C45" i="7"/>
  <c r="H44" i="7"/>
  <c r="G44" i="7"/>
  <c r="E44" i="7"/>
  <c r="D44" i="7"/>
  <c r="C44" i="7"/>
  <c r="H43" i="7"/>
  <c r="G43" i="7"/>
  <c r="E43" i="7"/>
  <c r="D43" i="7"/>
  <c r="C43" i="7"/>
  <c r="H42" i="7"/>
  <c r="G42" i="7"/>
  <c r="F42" i="7"/>
  <c r="I42" i="7" s="1"/>
  <c r="E42" i="7"/>
  <c r="D42" i="7"/>
  <c r="C42" i="7"/>
  <c r="H41" i="7"/>
  <c r="G41" i="7"/>
  <c r="E41" i="7"/>
  <c r="D41" i="7"/>
  <c r="C41" i="7"/>
  <c r="H40" i="7"/>
  <c r="G40" i="7"/>
  <c r="E40" i="7"/>
  <c r="D40" i="7"/>
  <c r="C40" i="7"/>
  <c r="H39" i="7"/>
  <c r="G39" i="7"/>
  <c r="E39" i="7"/>
  <c r="D39" i="7"/>
  <c r="C39" i="7"/>
  <c r="H38" i="7"/>
  <c r="G38" i="7"/>
  <c r="E38" i="7"/>
  <c r="D38" i="7"/>
  <c r="C38" i="7"/>
  <c r="H37" i="7"/>
  <c r="G37" i="7"/>
  <c r="E37" i="7"/>
  <c r="D37" i="7"/>
  <c r="C37" i="7"/>
  <c r="H36" i="7"/>
  <c r="G36" i="7"/>
  <c r="F36" i="7"/>
  <c r="I36" i="7" s="1"/>
  <c r="E36" i="7"/>
  <c r="D36" i="7"/>
  <c r="C36" i="7"/>
  <c r="H35" i="7"/>
  <c r="G35" i="7"/>
  <c r="E35" i="7"/>
  <c r="D35" i="7"/>
  <c r="C35" i="7"/>
  <c r="H34" i="7"/>
  <c r="G34" i="7"/>
  <c r="E34" i="7"/>
  <c r="D34" i="7"/>
  <c r="C34" i="7"/>
  <c r="H33" i="7"/>
  <c r="G33" i="7"/>
  <c r="E33" i="7"/>
  <c r="D33" i="7"/>
  <c r="C33" i="7"/>
  <c r="H32" i="7"/>
  <c r="G32" i="7"/>
  <c r="E32" i="7"/>
  <c r="D32" i="7"/>
  <c r="C32" i="7"/>
  <c r="H31" i="7"/>
  <c r="G31" i="7"/>
  <c r="E31" i="7"/>
  <c r="D31" i="7"/>
  <c r="C31" i="7"/>
  <c r="H30" i="7"/>
  <c r="G30" i="7"/>
  <c r="E30" i="7"/>
  <c r="D30" i="7"/>
  <c r="C30" i="7"/>
  <c r="H29" i="7"/>
  <c r="G29" i="7"/>
  <c r="E29" i="7"/>
  <c r="D29" i="7"/>
  <c r="C29" i="7"/>
  <c r="H28" i="7"/>
  <c r="G28" i="7"/>
  <c r="E28" i="7"/>
  <c r="D28" i="7"/>
  <c r="C28" i="7"/>
  <c r="H27" i="7"/>
  <c r="G27" i="7"/>
  <c r="E27" i="7"/>
  <c r="D27" i="7"/>
  <c r="C27" i="7"/>
  <c r="H26" i="7"/>
  <c r="G26" i="7"/>
  <c r="E26" i="7"/>
  <c r="D26" i="7"/>
  <c r="C26" i="7"/>
  <c r="H25" i="7"/>
  <c r="G25" i="7"/>
  <c r="E25" i="7"/>
  <c r="D25" i="7"/>
  <c r="C25" i="7"/>
  <c r="H24" i="7"/>
  <c r="G24" i="7"/>
  <c r="E24" i="7"/>
  <c r="D24" i="7"/>
  <c r="C24" i="7"/>
  <c r="H23" i="7"/>
  <c r="G23" i="7"/>
  <c r="E23" i="7"/>
  <c r="D23" i="7"/>
  <c r="C23" i="7"/>
  <c r="H22" i="7"/>
  <c r="G22" i="7"/>
  <c r="E22" i="7"/>
  <c r="D22" i="7"/>
  <c r="C22" i="7"/>
  <c r="H21" i="7"/>
  <c r="G21" i="7"/>
  <c r="E21" i="7"/>
  <c r="D21" i="7"/>
  <c r="C21" i="7"/>
  <c r="H20" i="7"/>
  <c r="G20" i="7"/>
  <c r="E20" i="7"/>
  <c r="D20" i="7"/>
  <c r="C20" i="7"/>
  <c r="H19" i="7"/>
  <c r="G19" i="7"/>
  <c r="E19" i="7"/>
  <c r="D19" i="7"/>
  <c r="C19" i="7"/>
  <c r="H18" i="7"/>
  <c r="G18" i="7"/>
  <c r="E18" i="7"/>
  <c r="D18" i="7"/>
  <c r="C18" i="7"/>
  <c r="H17" i="7"/>
  <c r="G17" i="7"/>
  <c r="E17" i="7"/>
  <c r="D17" i="7"/>
  <c r="C17" i="7"/>
  <c r="H16" i="7"/>
  <c r="G16" i="7"/>
  <c r="E16" i="7"/>
  <c r="D16" i="7"/>
  <c r="C16" i="7"/>
  <c r="H15" i="7"/>
  <c r="G15" i="7"/>
  <c r="E15" i="7"/>
  <c r="D15" i="7"/>
  <c r="C15" i="7"/>
  <c r="H14" i="7"/>
  <c r="G14" i="7"/>
  <c r="E14" i="7"/>
  <c r="D14" i="7"/>
  <c r="C14" i="7"/>
  <c r="H13" i="7"/>
  <c r="G13" i="7"/>
  <c r="E13" i="7"/>
  <c r="D13" i="7"/>
  <c r="C13" i="7"/>
  <c r="H12" i="7"/>
  <c r="G12" i="7"/>
  <c r="E12" i="7"/>
  <c r="D12" i="7"/>
  <c r="C12" i="7"/>
  <c r="H11" i="7"/>
  <c r="G11" i="7"/>
  <c r="E11" i="7"/>
  <c r="D11" i="7"/>
  <c r="C11" i="7"/>
  <c r="H10" i="7"/>
  <c r="G10" i="7"/>
  <c r="E10" i="7"/>
  <c r="D10" i="7"/>
  <c r="C10" i="7"/>
  <c r="H9" i="7"/>
  <c r="G9" i="7"/>
  <c r="E9" i="7"/>
  <c r="D9" i="7"/>
  <c r="C9" i="7"/>
  <c r="H8" i="7"/>
  <c r="G8" i="7"/>
  <c r="E8" i="7"/>
  <c r="D8" i="7"/>
  <c r="C8" i="7"/>
  <c r="H7" i="7"/>
  <c r="G7" i="7"/>
  <c r="E7" i="7"/>
  <c r="D7" i="7"/>
  <c r="C7" i="7"/>
  <c r="H6" i="7"/>
  <c r="G6" i="7"/>
  <c r="E6" i="7"/>
  <c r="D6" i="7"/>
  <c r="C6" i="7"/>
  <c r="H5" i="7"/>
  <c r="G5" i="7"/>
  <c r="E5" i="7"/>
  <c r="D5" i="7"/>
  <c r="C5" i="7"/>
  <c r="H4" i="7"/>
  <c r="G4" i="7"/>
  <c r="E4" i="7"/>
  <c r="D4" i="7"/>
  <c r="C4" i="7"/>
  <c r="H3" i="7"/>
  <c r="G3" i="7"/>
  <c r="E3" i="7"/>
  <c r="D3" i="7"/>
  <c r="C3" i="7"/>
  <c r="H49" i="6"/>
  <c r="G49" i="6"/>
  <c r="F49" i="6"/>
  <c r="I49" i="6" s="1"/>
  <c r="E49" i="6"/>
  <c r="D49" i="6"/>
  <c r="C49" i="6"/>
  <c r="H48" i="6"/>
  <c r="G48" i="6"/>
  <c r="E48" i="6"/>
  <c r="D48" i="6"/>
  <c r="C48" i="6"/>
  <c r="H47" i="6"/>
  <c r="G47" i="6"/>
  <c r="F47" i="6"/>
  <c r="E47" i="6"/>
  <c r="D47" i="6"/>
  <c r="C47" i="6"/>
  <c r="H46" i="6"/>
  <c r="G46" i="6"/>
  <c r="E46" i="6"/>
  <c r="D46" i="6"/>
  <c r="C46" i="6"/>
  <c r="H45" i="6"/>
  <c r="G45" i="6"/>
  <c r="E45" i="6"/>
  <c r="D45" i="6"/>
  <c r="C45" i="6"/>
  <c r="H44" i="6"/>
  <c r="G44" i="6"/>
  <c r="E44" i="6"/>
  <c r="D44" i="6"/>
  <c r="C44" i="6"/>
  <c r="H43" i="6"/>
  <c r="G43" i="6"/>
  <c r="E43" i="6"/>
  <c r="D43" i="6"/>
  <c r="C43" i="6"/>
  <c r="H42" i="6"/>
  <c r="G42" i="6"/>
  <c r="E42" i="6"/>
  <c r="D42" i="6"/>
  <c r="C42" i="6"/>
  <c r="H41" i="6"/>
  <c r="G41" i="6"/>
  <c r="E41" i="6"/>
  <c r="D41" i="6"/>
  <c r="C41" i="6"/>
  <c r="H40" i="6"/>
  <c r="G40" i="6"/>
  <c r="E40" i="6"/>
  <c r="D40" i="6"/>
  <c r="C40" i="6"/>
  <c r="H39" i="6"/>
  <c r="G39" i="6"/>
  <c r="F39" i="6"/>
  <c r="I39" i="6" s="1"/>
  <c r="E39" i="6"/>
  <c r="D39" i="6"/>
  <c r="C39" i="6"/>
  <c r="H38" i="6"/>
  <c r="G38" i="6"/>
  <c r="E38" i="6"/>
  <c r="D38" i="6"/>
  <c r="C38" i="6"/>
  <c r="H37" i="6"/>
  <c r="G37" i="6"/>
  <c r="F37" i="6"/>
  <c r="E37" i="6"/>
  <c r="D37" i="6"/>
  <c r="C37" i="6"/>
  <c r="H36" i="6"/>
  <c r="G36" i="6"/>
  <c r="E36" i="6"/>
  <c r="D36" i="6"/>
  <c r="C36" i="6"/>
  <c r="H35" i="6"/>
  <c r="G35" i="6"/>
  <c r="E35" i="6"/>
  <c r="D35" i="6"/>
  <c r="C35" i="6"/>
  <c r="H34" i="6"/>
  <c r="G34" i="6"/>
  <c r="E34" i="6"/>
  <c r="D34" i="6"/>
  <c r="C34" i="6"/>
  <c r="H33" i="6"/>
  <c r="G33" i="6"/>
  <c r="E33" i="6"/>
  <c r="D33" i="6"/>
  <c r="C33" i="6"/>
  <c r="H32" i="6"/>
  <c r="G32" i="6"/>
  <c r="E32" i="6"/>
  <c r="D32" i="6"/>
  <c r="C32" i="6"/>
  <c r="H31" i="6"/>
  <c r="G31" i="6"/>
  <c r="F31" i="6"/>
  <c r="I31" i="6" s="1"/>
  <c r="E31" i="6"/>
  <c r="D31" i="6"/>
  <c r="C31" i="6"/>
  <c r="H30" i="6"/>
  <c r="G30" i="6"/>
  <c r="E30" i="6"/>
  <c r="D30" i="6"/>
  <c r="C30" i="6"/>
  <c r="H29" i="6"/>
  <c r="G29" i="6"/>
  <c r="E29" i="6"/>
  <c r="D29" i="6"/>
  <c r="C29" i="6"/>
  <c r="H28" i="6"/>
  <c r="G28" i="6"/>
  <c r="E28" i="6"/>
  <c r="D28" i="6"/>
  <c r="C28" i="6"/>
  <c r="H27" i="6"/>
  <c r="G27" i="6"/>
  <c r="E27" i="6"/>
  <c r="D27" i="6"/>
  <c r="C27" i="6"/>
  <c r="H26" i="6"/>
  <c r="G26" i="6"/>
  <c r="E26" i="6"/>
  <c r="D26" i="6"/>
  <c r="C26" i="6"/>
  <c r="H25" i="6"/>
  <c r="G25" i="6"/>
  <c r="F25" i="6"/>
  <c r="E25" i="6"/>
  <c r="D25" i="6"/>
  <c r="C25" i="6"/>
  <c r="H24" i="6"/>
  <c r="G24" i="6"/>
  <c r="E24" i="6"/>
  <c r="D24" i="6"/>
  <c r="C24" i="6"/>
  <c r="H23" i="6"/>
  <c r="G23" i="6"/>
  <c r="E23" i="6"/>
  <c r="D23" i="6"/>
  <c r="C23" i="6"/>
  <c r="H22" i="6"/>
  <c r="G22" i="6"/>
  <c r="E22" i="6"/>
  <c r="D22" i="6"/>
  <c r="C22" i="6"/>
  <c r="H21" i="6"/>
  <c r="G21" i="6"/>
  <c r="F21" i="6"/>
  <c r="I21" i="6" s="1"/>
  <c r="E21" i="6"/>
  <c r="D21" i="6"/>
  <c r="C21" i="6"/>
  <c r="H20" i="6"/>
  <c r="G20" i="6"/>
  <c r="E20" i="6"/>
  <c r="D20" i="6"/>
  <c r="C20" i="6"/>
  <c r="H19" i="6"/>
  <c r="G19" i="6"/>
  <c r="F19" i="6"/>
  <c r="E19" i="6"/>
  <c r="D19" i="6"/>
  <c r="C19" i="6"/>
  <c r="H18" i="6"/>
  <c r="G18" i="6"/>
  <c r="E18" i="6"/>
  <c r="D18" i="6"/>
  <c r="C18" i="6"/>
  <c r="H17" i="6"/>
  <c r="G17" i="6"/>
  <c r="E17" i="6"/>
  <c r="D17" i="6"/>
  <c r="C17" i="6"/>
  <c r="H16" i="6"/>
  <c r="G16" i="6"/>
  <c r="E16" i="6"/>
  <c r="D16" i="6"/>
  <c r="C16" i="6"/>
  <c r="H15" i="6"/>
  <c r="G15" i="6"/>
  <c r="F15" i="6"/>
  <c r="I15" i="6" s="1"/>
  <c r="E15" i="6"/>
  <c r="D15" i="6"/>
  <c r="C15" i="6"/>
  <c r="H14" i="6"/>
  <c r="G14" i="6"/>
  <c r="E14" i="6"/>
  <c r="D14" i="6"/>
  <c r="C14" i="6"/>
  <c r="H13" i="6"/>
  <c r="G13" i="6"/>
  <c r="E13" i="6"/>
  <c r="D13" i="6"/>
  <c r="C13" i="6"/>
  <c r="H12" i="6"/>
  <c r="G12" i="6"/>
  <c r="E12" i="6"/>
  <c r="D12" i="6"/>
  <c r="C12" i="6"/>
  <c r="H11" i="6"/>
  <c r="G11" i="6"/>
  <c r="E11" i="6"/>
  <c r="D11" i="6"/>
  <c r="C11" i="6"/>
  <c r="H10" i="6"/>
  <c r="G10" i="6"/>
  <c r="E10" i="6"/>
  <c r="D10" i="6"/>
  <c r="C10" i="6"/>
  <c r="H9" i="6"/>
  <c r="G9" i="6"/>
  <c r="F9" i="6"/>
  <c r="E9" i="6"/>
  <c r="D9" i="6"/>
  <c r="C9" i="6"/>
  <c r="H8" i="6"/>
  <c r="G8" i="6"/>
  <c r="E8" i="6"/>
  <c r="D8" i="6"/>
  <c r="C8" i="6"/>
  <c r="H7" i="6"/>
  <c r="G7" i="6"/>
  <c r="E7" i="6"/>
  <c r="D7" i="6"/>
  <c r="C7" i="6"/>
  <c r="H6" i="6"/>
  <c r="G6" i="6"/>
  <c r="E6" i="6"/>
  <c r="D6" i="6"/>
  <c r="C6" i="6"/>
  <c r="H5" i="6"/>
  <c r="G5" i="6"/>
  <c r="F5" i="6"/>
  <c r="I5" i="6" s="1"/>
  <c r="E5" i="6"/>
  <c r="D5" i="6"/>
  <c r="C5" i="6"/>
  <c r="H4" i="6"/>
  <c r="G4" i="6"/>
  <c r="E4" i="6"/>
  <c r="D4" i="6"/>
  <c r="C4" i="6"/>
  <c r="H3" i="6"/>
  <c r="G3" i="6"/>
  <c r="E3" i="6"/>
  <c r="D3" i="6"/>
  <c r="C3" i="6"/>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K49" i="4"/>
  <c r="J49" i="4"/>
  <c r="H49" i="4"/>
  <c r="F49" i="4"/>
  <c r="D49" i="4"/>
  <c r="C49" i="4"/>
  <c r="K48" i="4"/>
  <c r="J48" i="4"/>
  <c r="H48" i="4"/>
  <c r="F48" i="4"/>
  <c r="C48" i="4"/>
  <c r="D48" i="4" s="1"/>
  <c r="B48" i="4"/>
  <c r="K47" i="4"/>
  <c r="J47" i="4"/>
  <c r="H47" i="4"/>
  <c r="F47" i="4"/>
  <c r="D47" i="4"/>
  <c r="C47" i="4"/>
  <c r="K46" i="4"/>
  <c r="J46" i="4"/>
  <c r="H46" i="4"/>
  <c r="F46" i="4"/>
  <c r="C46" i="4"/>
  <c r="D46" i="4" s="1"/>
  <c r="B46" i="4"/>
  <c r="K45" i="4"/>
  <c r="G8" i="14" s="1" a="1"/>
  <c r="G8" i="14" s="1"/>
  <c r="J45" i="4"/>
  <c r="H45" i="4"/>
  <c r="F45" i="4"/>
  <c r="D45" i="4"/>
  <c r="C45" i="4"/>
  <c r="E8" i="14" s="1" a="1"/>
  <c r="E8" i="14" s="1"/>
  <c r="B45" i="4"/>
  <c r="K44" i="4"/>
  <c r="J44" i="4"/>
  <c r="H44" i="4"/>
  <c r="F44" i="4"/>
  <c r="D44" i="4"/>
  <c r="C44" i="4"/>
  <c r="K43" i="4"/>
  <c r="J43" i="4"/>
  <c r="H43" i="4"/>
  <c r="F43" i="4"/>
  <c r="C43" i="4"/>
  <c r="D43" i="4" s="1"/>
  <c r="B43" i="4"/>
  <c r="K42" i="4"/>
  <c r="J42" i="4"/>
  <c r="H42" i="4"/>
  <c r="F42" i="4"/>
  <c r="D42" i="4"/>
  <c r="C42" i="4"/>
  <c r="K41" i="4"/>
  <c r="F4" i="14" s="1" a="1"/>
  <c r="F4" i="14" s="1"/>
  <c r="J41" i="4"/>
  <c r="H41" i="4"/>
  <c r="F41" i="4"/>
  <c r="C41" i="4"/>
  <c r="D4" i="14" s="1" a="1"/>
  <c r="D4" i="14" s="1"/>
  <c r="K40" i="4"/>
  <c r="J40" i="4"/>
  <c r="H40" i="4"/>
  <c r="F40" i="4"/>
  <c r="C40" i="4"/>
  <c r="D40" i="4" s="1"/>
  <c r="B40" i="4"/>
  <c r="E40" i="4" s="1"/>
  <c r="G40" i="4" s="1"/>
  <c r="I40" i="4" s="1"/>
  <c r="L40" i="4" s="1"/>
  <c r="K39" i="4"/>
  <c r="J39" i="4"/>
  <c r="H39" i="4"/>
  <c r="F39" i="4"/>
  <c r="D39" i="4"/>
  <c r="C39" i="4"/>
  <c r="K38" i="4"/>
  <c r="J38" i="4"/>
  <c r="H38" i="4"/>
  <c r="F38" i="4"/>
  <c r="C38" i="4"/>
  <c r="B38" i="4"/>
  <c r="K37" i="4"/>
  <c r="J37" i="4"/>
  <c r="H37" i="4"/>
  <c r="F37" i="4"/>
  <c r="C37" i="4"/>
  <c r="D37" i="4" s="1"/>
  <c r="B37" i="4"/>
  <c r="K36" i="4"/>
  <c r="G4" i="14" s="1" a="1"/>
  <c r="G4" i="14" s="1"/>
  <c r="J36" i="4"/>
  <c r="H36" i="4"/>
  <c r="F36" i="4"/>
  <c r="D36" i="4"/>
  <c r="C36" i="4"/>
  <c r="E4" i="14" s="1" a="1"/>
  <c r="E4" i="14" s="1"/>
  <c r="K35" i="4"/>
  <c r="J35" i="4"/>
  <c r="H35" i="4"/>
  <c r="F35" i="4"/>
  <c r="C35" i="4"/>
  <c r="D35" i="4" s="1"/>
  <c r="B35" i="4"/>
  <c r="E35" i="4" s="1"/>
  <c r="G35" i="4" s="1"/>
  <c r="I35" i="4" s="1"/>
  <c r="L35" i="4" s="1"/>
  <c r="K34" i="4"/>
  <c r="J34" i="4"/>
  <c r="H34" i="4"/>
  <c r="F34" i="4"/>
  <c r="C34" i="4"/>
  <c r="K33" i="4"/>
  <c r="J33" i="4"/>
  <c r="H33" i="4"/>
  <c r="F33" i="4"/>
  <c r="D33" i="4"/>
  <c r="C33" i="4"/>
  <c r="B33" i="4"/>
  <c r="E33" i="4" s="1"/>
  <c r="G33" i="4" s="1"/>
  <c r="I33" i="4" s="1"/>
  <c r="L33" i="4" s="1"/>
  <c r="K32" i="4"/>
  <c r="J32" i="4"/>
  <c r="H32" i="4"/>
  <c r="F32" i="4"/>
  <c r="C32" i="4"/>
  <c r="D32" i="4" s="1"/>
  <c r="B32" i="4"/>
  <c r="K31" i="4"/>
  <c r="J31" i="4"/>
  <c r="H31" i="4"/>
  <c r="F31" i="4"/>
  <c r="D31" i="4"/>
  <c r="C31" i="4"/>
  <c r="K30" i="4"/>
  <c r="J30" i="4"/>
  <c r="H30" i="4"/>
  <c r="F30" i="4"/>
  <c r="C30" i="4"/>
  <c r="D30" i="4" s="1"/>
  <c r="B30" i="4"/>
  <c r="E30" i="4" s="1"/>
  <c r="G30" i="4" s="1"/>
  <c r="I30" i="4" s="1"/>
  <c r="L30" i="4" s="1"/>
  <c r="K29" i="4"/>
  <c r="G9" i="14" s="1" a="1"/>
  <c r="G9" i="14" s="1"/>
  <c r="J29" i="4"/>
  <c r="H29" i="4"/>
  <c r="F29" i="4"/>
  <c r="C29" i="4"/>
  <c r="E9" i="14" s="1" a="1"/>
  <c r="E9" i="14" s="1"/>
  <c r="B29" i="4"/>
  <c r="K28" i="4"/>
  <c r="J28" i="4"/>
  <c r="H28" i="4"/>
  <c r="F28" i="4"/>
  <c r="D28" i="4"/>
  <c r="C28" i="4"/>
  <c r="K27" i="4"/>
  <c r="J27" i="4"/>
  <c r="H27" i="4"/>
  <c r="F27" i="4"/>
  <c r="C27" i="4"/>
  <c r="D27" i="4" s="1"/>
  <c r="B27" i="4"/>
  <c r="E27" i="4" s="1"/>
  <c r="G27" i="4" s="1"/>
  <c r="I27" i="4" s="1"/>
  <c r="L27" i="4" s="1"/>
  <c r="K26" i="4"/>
  <c r="J26" i="4"/>
  <c r="H26" i="4"/>
  <c r="F26" i="4"/>
  <c r="C26" i="4"/>
  <c r="D26" i="4" s="1"/>
  <c r="E26" i="4" s="1"/>
  <c r="G26" i="4" s="1"/>
  <c r="I26" i="4" s="1"/>
  <c r="L26" i="4" s="1"/>
  <c r="B26" i="4"/>
  <c r="K25" i="4"/>
  <c r="J25" i="4"/>
  <c r="H25" i="4"/>
  <c r="F25" i="4"/>
  <c r="G25" i="4" s="1"/>
  <c r="I25" i="4" s="1"/>
  <c r="L25" i="4" s="1"/>
  <c r="D25" i="4"/>
  <c r="C25" i="4"/>
  <c r="B25" i="4"/>
  <c r="E25" i="4" s="1"/>
  <c r="K24" i="4"/>
  <c r="G10" i="14" s="1" a="1"/>
  <c r="G10" i="14" s="1"/>
  <c r="J24" i="4"/>
  <c r="H24" i="4"/>
  <c r="F24" i="4"/>
  <c r="C24" i="4"/>
  <c r="E10" i="14" s="1" a="1"/>
  <c r="E10" i="14" s="1"/>
  <c r="B24" i="4"/>
  <c r="K23" i="4"/>
  <c r="G12" i="14" s="1" a="1"/>
  <c r="G12" i="14" s="1"/>
  <c r="J23" i="4"/>
  <c r="H23" i="4"/>
  <c r="F23" i="4"/>
  <c r="D23" i="4"/>
  <c r="C23" i="4"/>
  <c r="E12" i="14" s="1" a="1"/>
  <c r="E12" i="14" s="1"/>
  <c r="K22" i="4"/>
  <c r="J22" i="4"/>
  <c r="H22" i="4"/>
  <c r="F22" i="4"/>
  <c r="C22" i="4"/>
  <c r="D22" i="4" s="1"/>
  <c r="B22" i="4"/>
  <c r="E22" i="4" s="1"/>
  <c r="G22" i="4" s="1"/>
  <c r="I22" i="4" s="1"/>
  <c r="L22" i="4" s="1"/>
  <c r="K21" i="4"/>
  <c r="J21" i="4"/>
  <c r="H21" i="4"/>
  <c r="F21" i="4"/>
  <c r="C21" i="4"/>
  <c r="D21" i="4" s="1"/>
  <c r="E21" i="4" s="1"/>
  <c r="G21" i="4" s="1"/>
  <c r="I21" i="4" s="1"/>
  <c r="L21" i="4" s="1"/>
  <c r="B21" i="4"/>
  <c r="K20" i="4"/>
  <c r="J20" i="4"/>
  <c r="H20" i="4"/>
  <c r="F20" i="4"/>
  <c r="D20" i="4"/>
  <c r="C20" i="4"/>
  <c r="K19" i="4"/>
  <c r="J19" i="4"/>
  <c r="I19" i="4"/>
  <c r="L19" i="4" s="1"/>
  <c r="H19" i="4"/>
  <c r="F19" i="4"/>
  <c r="C19" i="4"/>
  <c r="D19" i="4" s="1"/>
  <c r="B19" i="4"/>
  <c r="E19" i="4" s="1"/>
  <c r="G19" i="4" s="1"/>
  <c r="K18" i="4"/>
  <c r="G11" i="14" s="1" a="1"/>
  <c r="G11" i="14" s="1"/>
  <c r="J18" i="4"/>
  <c r="H18" i="4"/>
  <c r="F18" i="4"/>
  <c r="C18" i="4"/>
  <c r="E11" i="14" s="1" a="1"/>
  <c r="E11" i="14" s="1"/>
  <c r="B18" i="4"/>
  <c r="K17" i="4"/>
  <c r="J17" i="4"/>
  <c r="I17" i="4"/>
  <c r="L17" i="4" s="1"/>
  <c r="H17" i="4"/>
  <c r="G17" i="4"/>
  <c r="F17" i="4"/>
  <c r="E17" i="4"/>
  <c r="D17" i="4"/>
  <c r="C17" i="4"/>
  <c r="B17" i="4"/>
  <c r="K16" i="4"/>
  <c r="J16" i="4"/>
  <c r="H16" i="4"/>
  <c r="F16" i="4"/>
  <c r="C16" i="4"/>
  <c r="D16" i="4" s="1"/>
  <c r="B16" i="4"/>
  <c r="K15" i="4"/>
  <c r="J15" i="4"/>
  <c r="H15" i="4"/>
  <c r="F15" i="4"/>
  <c r="D15" i="4"/>
  <c r="C15" i="4"/>
  <c r="K14" i="4"/>
  <c r="J14" i="4"/>
  <c r="H14" i="4"/>
  <c r="F14" i="4"/>
  <c r="C14" i="4"/>
  <c r="D14" i="4" s="1"/>
  <c r="B14" i="4"/>
  <c r="K13" i="4"/>
  <c r="J13" i="4"/>
  <c r="H13" i="4"/>
  <c r="F13" i="4"/>
  <c r="D13" i="4"/>
  <c r="E13" i="4" s="1"/>
  <c r="G13" i="4" s="1"/>
  <c r="I13" i="4" s="1"/>
  <c r="L13" i="4" s="1"/>
  <c r="C13" i="4"/>
  <c r="B13" i="4"/>
  <c r="K12" i="4"/>
  <c r="J12" i="4"/>
  <c r="H12" i="4"/>
  <c r="F12" i="4"/>
  <c r="D12" i="4"/>
  <c r="C12" i="4"/>
  <c r="K11" i="4"/>
  <c r="J11" i="4"/>
  <c r="H11" i="4"/>
  <c r="F11" i="4"/>
  <c r="C11" i="4"/>
  <c r="D11" i="4" s="1"/>
  <c r="B11" i="4"/>
  <c r="K10" i="4"/>
  <c r="J10" i="4"/>
  <c r="H10" i="4"/>
  <c r="F10" i="4"/>
  <c r="D10" i="4"/>
  <c r="E10" i="4" s="1"/>
  <c r="G10" i="4" s="1"/>
  <c r="I10" i="4" s="1"/>
  <c r="L10" i="4" s="1"/>
  <c r="C10" i="4"/>
  <c r="B10" i="4"/>
  <c r="K9" i="4"/>
  <c r="J9" i="4"/>
  <c r="H9" i="4"/>
  <c r="F9" i="4"/>
  <c r="G9" i="4" s="1"/>
  <c r="I9" i="4" s="1"/>
  <c r="L9" i="4" s="1"/>
  <c r="E9" i="4"/>
  <c r="D9" i="4"/>
  <c r="C9" i="4"/>
  <c r="B9" i="4"/>
  <c r="K8" i="4"/>
  <c r="J8" i="4"/>
  <c r="H8" i="4"/>
  <c r="F8" i="4"/>
  <c r="C8" i="4"/>
  <c r="D8" i="4" s="1"/>
  <c r="B8" i="4"/>
  <c r="K7" i="4"/>
  <c r="J7" i="4"/>
  <c r="H7" i="4"/>
  <c r="F7" i="4"/>
  <c r="D7" i="4"/>
  <c r="C7" i="4"/>
  <c r="K6" i="4"/>
  <c r="J6" i="4"/>
  <c r="H6" i="4"/>
  <c r="F6" i="4"/>
  <c r="C6" i="4"/>
  <c r="D6" i="4" s="1"/>
  <c r="B6" i="4"/>
  <c r="E6" i="4" s="1"/>
  <c r="G6" i="4" s="1"/>
  <c r="I6" i="4" s="1"/>
  <c r="L6" i="4" s="1"/>
  <c r="K5" i="4"/>
  <c r="J5" i="4"/>
  <c r="H5" i="4"/>
  <c r="F5" i="4"/>
  <c r="C5" i="4"/>
  <c r="D5" i="4" s="1"/>
  <c r="B5" i="4"/>
  <c r="E5" i="4" s="1"/>
  <c r="G5" i="4" s="1"/>
  <c r="I5" i="4" s="1"/>
  <c r="L5" i="4" s="1"/>
  <c r="K4" i="4"/>
  <c r="J4" i="4"/>
  <c r="H4" i="4"/>
  <c r="F4" i="4"/>
  <c r="D4" i="4"/>
  <c r="C4" i="4"/>
  <c r="K3" i="4"/>
  <c r="J3" i="4"/>
  <c r="H3" i="4"/>
  <c r="F3" i="4"/>
  <c r="C3" i="4"/>
  <c r="D3" i="4" s="1"/>
  <c r="B3" i="4"/>
  <c r="E3" i="4" s="1"/>
  <c r="G3" i="4" s="1"/>
  <c r="I3" i="4" s="1"/>
  <c r="L3" i="4" s="1"/>
  <c r="G35" i="2"/>
  <c r="F35" i="2"/>
  <c r="F34" i="2"/>
  <c r="F33" i="2"/>
  <c r="F32" i="2"/>
  <c r="D32" i="2"/>
  <c r="C32" i="2"/>
  <c r="G32" i="2" s="1"/>
  <c r="B32" i="2"/>
  <c r="F31" i="2"/>
  <c r="E30" i="2"/>
  <c r="D30" i="2"/>
  <c r="C30" i="2"/>
  <c r="G30" i="2" s="1"/>
  <c r="B21" i="1" s="1"/>
  <c r="B30" i="2"/>
  <c r="E29" i="2"/>
  <c r="D29" i="2"/>
  <c r="C29" i="2"/>
  <c r="B29" i="2"/>
  <c r="G28" i="2"/>
  <c r="F28" i="2"/>
  <c r="B20" i="2"/>
  <c r="D19" i="2"/>
  <c r="F18" i="2"/>
  <c r="D18" i="2"/>
  <c r="F17" i="2"/>
  <c r="D17" i="2"/>
  <c r="D20" i="2" s="1"/>
  <c r="F16" i="2"/>
  <c r="D16" i="2"/>
  <c r="B12" i="2"/>
  <c r="B11" i="2"/>
  <c r="B10" i="2"/>
  <c r="E19" i="2" s="1"/>
  <c r="B20" i="1"/>
  <c r="F3" i="7" s="1"/>
  <c r="I3" i="7" s="1"/>
  <c r="B19" i="1"/>
  <c r="F3" i="6" s="1"/>
  <c r="I3" i="6" s="1"/>
  <c r="B18" i="1"/>
  <c r="F43" i="7" s="1"/>
  <c r="I43" i="7" s="1"/>
  <c r="B17" i="1"/>
  <c r="B4" i="1"/>
  <c r="B47" i="4" s="1"/>
  <c r="E47" i="4" s="1"/>
  <c r="G47" i="4" s="1"/>
  <c r="I47" i="4" s="1"/>
  <c r="L47" i="4" s="1"/>
  <c r="B30" i="6" l="1"/>
  <c r="B30" i="5"/>
  <c r="B30" i="7"/>
  <c r="J30" i="7" s="1"/>
  <c r="B6" i="7"/>
  <c r="B6" i="6"/>
  <c r="B6" i="5"/>
  <c r="B27" i="6"/>
  <c r="B27" i="5"/>
  <c r="B27" i="7"/>
  <c r="B35" i="6"/>
  <c r="B35" i="7"/>
  <c r="B35" i="5"/>
  <c r="B47" i="6"/>
  <c r="B47" i="7"/>
  <c r="B47" i="5"/>
  <c r="F20" i="2"/>
  <c r="B33" i="6"/>
  <c r="B33" i="5"/>
  <c r="B33" i="7"/>
  <c r="F13" i="13"/>
  <c r="E13" i="13"/>
  <c r="D13" i="13"/>
  <c r="C13" i="13"/>
  <c r="R13" i="13"/>
  <c r="Q13" i="13"/>
  <c r="P13" i="13"/>
  <c r="O13" i="13"/>
  <c r="G13" i="13"/>
  <c r="H13" i="11"/>
  <c r="B13" i="13" s="1"/>
  <c r="B26" i="7"/>
  <c r="B26" i="6"/>
  <c r="B26" i="5"/>
  <c r="B21" i="6"/>
  <c r="J21" i="6" s="1"/>
  <c r="B21" i="5"/>
  <c r="B21" i="7"/>
  <c r="B3" i="7"/>
  <c r="J3" i="7" s="1"/>
  <c r="B3" i="5"/>
  <c r="B3" i="6"/>
  <c r="J3" i="6" s="1"/>
  <c r="B9" i="6"/>
  <c r="J9" i="6" s="1"/>
  <c r="B9" i="5"/>
  <c r="B9" i="7"/>
  <c r="B25" i="7"/>
  <c r="B25" i="6"/>
  <c r="J25" i="6" s="1"/>
  <c r="B25" i="5"/>
  <c r="B40" i="7"/>
  <c r="B40" i="5"/>
  <c r="B40" i="6"/>
  <c r="B22" i="7"/>
  <c r="B22" i="6"/>
  <c r="B22" i="5"/>
  <c r="B5" i="6"/>
  <c r="J5" i="6" s="1"/>
  <c r="B5" i="5"/>
  <c r="B5" i="7"/>
  <c r="B10" i="6"/>
  <c r="B10" i="5"/>
  <c r="B10" i="7"/>
  <c r="Q37" i="13"/>
  <c r="O37" i="13"/>
  <c r="G37" i="13"/>
  <c r="F37" i="13"/>
  <c r="E37" i="13"/>
  <c r="R37" i="13"/>
  <c r="D37" i="13"/>
  <c r="P37" i="13"/>
  <c r="C37" i="13"/>
  <c r="H37" i="11"/>
  <c r="B37" i="13" s="1"/>
  <c r="B13" i="7"/>
  <c r="B13" i="6"/>
  <c r="B13" i="5"/>
  <c r="G31" i="2"/>
  <c r="B24" i="2"/>
  <c r="G33" i="2"/>
  <c r="G34" i="2"/>
  <c r="F19" i="2"/>
  <c r="G29" i="2"/>
  <c r="F29" i="2"/>
  <c r="F30" i="2"/>
  <c r="E11" i="4"/>
  <c r="G11" i="4" s="1"/>
  <c r="I11" i="4" s="1"/>
  <c r="L11" i="4" s="1"/>
  <c r="E14" i="4"/>
  <c r="G14" i="4" s="1"/>
  <c r="I14" i="4" s="1"/>
  <c r="L14" i="4" s="1"/>
  <c r="D24" i="4"/>
  <c r="I19" i="6"/>
  <c r="I25" i="6"/>
  <c r="I37" i="6"/>
  <c r="I47" i="6"/>
  <c r="P8" i="13"/>
  <c r="O8" i="13"/>
  <c r="G8" i="13"/>
  <c r="F8" i="13"/>
  <c r="E8" i="13"/>
  <c r="D8" i="13"/>
  <c r="C8" i="13"/>
  <c r="R8" i="13"/>
  <c r="Q8" i="13"/>
  <c r="H8" i="11"/>
  <c r="B8" i="13" s="1"/>
  <c r="R11" i="13"/>
  <c r="Q11" i="13"/>
  <c r="P11" i="13"/>
  <c r="O11" i="13"/>
  <c r="G11" i="13"/>
  <c r="F11" i="13"/>
  <c r="E11" i="13"/>
  <c r="D11" i="13"/>
  <c r="C11" i="13"/>
  <c r="H11" i="11"/>
  <c r="B11" i="13" s="1"/>
  <c r="O33" i="13"/>
  <c r="G33" i="13"/>
  <c r="C33" i="13"/>
  <c r="R33" i="13"/>
  <c r="F33" i="13"/>
  <c r="Q33" i="13"/>
  <c r="E33" i="13"/>
  <c r="P33" i="13"/>
  <c r="D33" i="13"/>
  <c r="H33" i="11"/>
  <c r="B33" i="13" s="1"/>
  <c r="C36" i="13"/>
  <c r="Q36" i="13"/>
  <c r="R36" i="13"/>
  <c r="G36" i="13"/>
  <c r="P36" i="13"/>
  <c r="F36" i="13"/>
  <c r="D36" i="13"/>
  <c r="O36" i="13"/>
  <c r="E36" i="13"/>
  <c r="H36" i="11"/>
  <c r="B36" i="13" s="1"/>
  <c r="O38" i="13"/>
  <c r="G38" i="13"/>
  <c r="E38" i="13"/>
  <c r="F38" i="13"/>
  <c r="R38" i="13"/>
  <c r="D38" i="13"/>
  <c r="Q38" i="13"/>
  <c r="C38" i="13"/>
  <c r="P38" i="13"/>
  <c r="Q49" i="13"/>
  <c r="O49" i="13"/>
  <c r="G49" i="13"/>
  <c r="E49" i="13"/>
  <c r="F49" i="13"/>
  <c r="R49" i="13"/>
  <c r="D49" i="13"/>
  <c r="P49" i="13"/>
  <c r="H49" i="11"/>
  <c r="B49" i="13" s="1"/>
  <c r="C49" i="13"/>
  <c r="D29" i="4"/>
  <c r="E29" i="4" s="1"/>
  <c r="G29" i="4" s="1"/>
  <c r="I29" i="4" s="1"/>
  <c r="L29" i="4" s="1"/>
  <c r="E32" i="4"/>
  <c r="G32" i="4" s="1"/>
  <c r="I32" i="4" s="1"/>
  <c r="L32" i="4" s="1"/>
  <c r="E37" i="4"/>
  <c r="G37" i="4" s="1"/>
  <c r="I37" i="4" s="1"/>
  <c r="L37" i="4" s="1"/>
  <c r="H38" i="11"/>
  <c r="B38" i="13" s="1"/>
  <c r="C40" i="13"/>
  <c r="Q40" i="13"/>
  <c r="R40" i="13"/>
  <c r="G40" i="13"/>
  <c r="P40" i="13"/>
  <c r="F40" i="13"/>
  <c r="E40" i="13"/>
  <c r="D40" i="13"/>
  <c r="O40" i="13"/>
  <c r="H40" i="11"/>
  <c r="B40" i="13" s="1"/>
  <c r="E43" i="13"/>
  <c r="C43" i="13"/>
  <c r="Q43" i="13"/>
  <c r="G43" i="13"/>
  <c r="R43" i="13"/>
  <c r="F43" i="13"/>
  <c r="O43" i="13"/>
  <c r="D43" i="13"/>
  <c r="P43" i="13"/>
  <c r="H43" i="11"/>
  <c r="B43" i="13" s="1"/>
  <c r="E7" i="14" a="1"/>
  <c r="E7" i="14" s="1"/>
  <c r="E3" i="14" a="1"/>
  <c r="E3" i="14" s="1"/>
  <c r="C31" i="13"/>
  <c r="D31" i="13"/>
  <c r="R31" i="13"/>
  <c r="G31" i="13"/>
  <c r="Q31" i="13"/>
  <c r="F31" i="13"/>
  <c r="P31" i="13"/>
  <c r="E31" i="13"/>
  <c r="O31" i="13"/>
  <c r="H31" i="11"/>
  <c r="B31" i="13" s="1"/>
  <c r="F46" i="7"/>
  <c r="I46" i="7" s="1"/>
  <c r="F38" i="7"/>
  <c r="I38" i="7" s="1"/>
  <c r="F30" i="7"/>
  <c r="I30" i="7" s="1"/>
  <c r="F41" i="7"/>
  <c r="I41" i="7" s="1"/>
  <c r="F34" i="7"/>
  <c r="I34" i="7" s="1"/>
  <c r="F27" i="7"/>
  <c r="I27" i="7" s="1"/>
  <c r="F21" i="7"/>
  <c r="I21" i="7" s="1"/>
  <c r="F12" i="7"/>
  <c r="I12" i="7" s="1"/>
  <c r="F5" i="7"/>
  <c r="I5" i="7" s="1"/>
  <c r="F48" i="7"/>
  <c r="I48" i="7" s="1"/>
  <c r="F44" i="7"/>
  <c r="I44" i="7" s="1"/>
  <c r="F37" i="7"/>
  <c r="I37" i="7" s="1"/>
  <c r="F23" i="7"/>
  <c r="I23" i="7" s="1"/>
  <c r="F14" i="7"/>
  <c r="I14" i="7" s="1"/>
  <c r="F7" i="7"/>
  <c r="I7" i="7" s="1"/>
  <c r="F33" i="7"/>
  <c r="I33" i="7" s="1"/>
  <c r="F26" i="7"/>
  <c r="I26" i="7" s="1"/>
  <c r="F16" i="7"/>
  <c r="I16" i="7" s="1"/>
  <c r="F9" i="7"/>
  <c r="I9" i="7" s="1"/>
  <c r="F45" i="7"/>
  <c r="I45" i="7" s="1"/>
  <c r="F31" i="7"/>
  <c r="I31" i="7" s="1"/>
  <c r="F24" i="7"/>
  <c r="I24" i="7" s="1"/>
  <c r="F19" i="7"/>
  <c r="I19" i="7" s="1"/>
  <c r="F10" i="7"/>
  <c r="I10" i="7" s="1"/>
  <c r="F28" i="7"/>
  <c r="I28" i="7" s="1"/>
  <c r="F20" i="7"/>
  <c r="I20" i="7" s="1"/>
  <c r="F17" i="7"/>
  <c r="I17" i="7" s="1"/>
  <c r="F15" i="7"/>
  <c r="I15" i="7" s="1"/>
  <c r="F18" i="7"/>
  <c r="I18" i="7" s="1"/>
  <c r="F13" i="7"/>
  <c r="I13" i="7" s="1"/>
  <c r="F32" i="7"/>
  <c r="I32" i="7" s="1"/>
  <c r="F29" i="7"/>
  <c r="I29" i="7" s="1"/>
  <c r="F11" i="7"/>
  <c r="I11" i="7" s="1"/>
  <c r="F8" i="7"/>
  <c r="I8" i="7" s="1"/>
  <c r="F35" i="7"/>
  <c r="I35" i="7" s="1"/>
  <c r="F6" i="7"/>
  <c r="I6" i="7" s="1"/>
  <c r="F39" i="7"/>
  <c r="I39" i="7" s="1"/>
  <c r="F47" i="7"/>
  <c r="I47" i="7" s="1"/>
  <c r="F25" i="7"/>
  <c r="I25" i="7" s="1"/>
  <c r="F22" i="7"/>
  <c r="I22" i="7" s="1"/>
  <c r="E8" i="4"/>
  <c r="G8" i="4" s="1"/>
  <c r="I8" i="4" s="1"/>
  <c r="L8" i="4" s="1"/>
  <c r="D34" i="4"/>
  <c r="I9" i="6"/>
  <c r="H15" i="13"/>
  <c r="O18" i="13"/>
  <c r="G18" i="13"/>
  <c r="R18" i="13"/>
  <c r="Q18" i="13"/>
  <c r="P18" i="13"/>
  <c r="F18" i="13"/>
  <c r="E18" i="13"/>
  <c r="D18" i="13"/>
  <c r="C18" i="13"/>
  <c r="B19" i="6"/>
  <c r="J19" i="6" s="1"/>
  <c r="B19" i="7"/>
  <c r="J19" i="7" s="1"/>
  <c r="B19" i="5"/>
  <c r="D14" i="13"/>
  <c r="C14" i="13"/>
  <c r="R14" i="13"/>
  <c r="Q14" i="13"/>
  <c r="P14" i="13"/>
  <c r="O14" i="13"/>
  <c r="G14" i="13"/>
  <c r="F14" i="13"/>
  <c r="E14" i="13"/>
  <c r="C16" i="13"/>
  <c r="R16" i="13"/>
  <c r="Q16" i="13"/>
  <c r="P16" i="13"/>
  <c r="G16" i="13"/>
  <c r="O16" i="13"/>
  <c r="F16" i="13"/>
  <c r="E16" i="13"/>
  <c r="D16" i="13"/>
  <c r="H16" i="11"/>
  <c r="B16" i="13" s="1"/>
  <c r="H18" i="11"/>
  <c r="B18" i="13" s="1"/>
  <c r="C20" i="13"/>
  <c r="R20" i="13"/>
  <c r="Q20" i="13"/>
  <c r="P20" i="13"/>
  <c r="G20" i="13"/>
  <c r="O20" i="13"/>
  <c r="F20" i="13"/>
  <c r="E20" i="13"/>
  <c r="D20" i="13"/>
  <c r="H20" i="11"/>
  <c r="B20" i="13" s="1"/>
  <c r="E16" i="4"/>
  <c r="G16" i="4" s="1"/>
  <c r="I16" i="4" s="1"/>
  <c r="L16" i="4" s="1"/>
  <c r="B17" i="6"/>
  <c r="J17" i="6" s="1"/>
  <c r="B17" i="7"/>
  <c r="J17" i="7" s="1"/>
  <c r="B17" i="5"/>
  <c r="G7" i="14" a="1"/>
  <c r="G7" i="14" s="1"/>
  <c r="G3" i="14" a="1"/>
  <c r="G3" i="14" s="1"/>
  <c r="B23" i="2"/>
  <c r="D18" i="4"/>
  <c r="E18" i="4" s="1"/>
  <c r="G18" i="4" s="1"/>
  <c r="I18" i="4" s="1"/>
  <c r="L18" i="4" s="1"/>
  <c r="E24" i="4"/>
  <c r="G24" i="4" s="1"/>
  <c r="I24" i="4" s="1"/>
  <c r="L24" i="4" s="1"/>
  <c r="E45" i="4"/>
  <c r="G45" i="4" s="1"/>
  <c r="I45" i="4" s="1"/>
  <c r="L45" i="4" s="1"/>
  <c r="E46" i="4"/>
  <c r="G46" i="4" s="1"/>
  <c r="I46" i="4" s="1"/>
  <c r="L46" i="4" s="1"/>
  <c r="E48" i="4"/>
  <c r="G48" i="4" s="1"/>
  <c r="I48" i="4" s="1"/>
  <c r="L48" i="4" s="1"/>
  <c r="F4" i="7"/>
  <c r="I4" i="7" s="1"/>
  <c r="R7" i="13"/>
  <c r="Q7" i="13"/>
  <c r="P7" i="13"/>
  <c r="O7" i="13"/>
  <c r="G7" i="13"/>
  <c r="F7" i="13"/>
  <c r="E7" i="13"/>
  <c r="D7" i="13"/>
  <c r="C7" i="13"/>
  <c r="H7" i="11"/>
  <c r="B7" i="13" s="1"/>
  <c r="G12" i="11"/>
  <c r="H14" i="11"/>
  <c r="B14" i="13" s="1"/>
  <c r="E43" i="4"/>
  <c r="G43" i="4" s="1"/>
  <c r="I43" i="4" s="1"/>
  <c r="L43" i="4" s="1"/>
  <c r="F40" i="7"/>
  <c r="I40" i="7" s="1"/>
  <c r="R15" i="13"/>
  <c r="Q15" i="13"/>
  <c r="P15" i="13"/>
  <c r="G15" i="13"/>
  <c r="L15" i="13" s="1"/>
  <c r="O15" i="13"/>
  <c r="F15" i="13"/>
  <c r="K15" i="13" s="1"/>
  <c r="E15" i="13"/>
  <c r="J15" i="13" s="1"/>
  <c r="D15" i="13"/>
  <c r="I15" i="13" s="1"/>
  <c r="C15" i="13"/>
  <c r="O26" i="13"/>
  <c r="G26" i="13"/>
  <c r="F26" i="13"/>
  <c r="P26" i="13"/>
  <c r="D26" i="13"/>
  <c r="C26" i="13"/>
  <c r="R26" i="13"/>
  <c r="Q26" i="13"/>
  <c r="E26" i="13"/>
  <c r="H26" i="11"/>
  <c r="B26" i="13" s="1"/>
  <c r="F48" i="6"/>
  <c r="I48" i="6" s="1"/>
  <c r="F46" i="6"/>
  <c r="I46" i="6" s="1"/>
  <c r="F44" i="6"/>
  <c r="I44" i="6" s="1"/>
  <c r="F42" i="6"/>
  <c r="I42" i="6" s="1"/>
  <c r="F40" i="6"/>
  <c r="I40" i="6" s="1"/>
  <c r="F38" i="6"/>
  <c r="I38" i="6" s="1"/>
  <c r="F36" i="6"/>
  <c r="I36" i="6" s="1"/>
  <c r="F34" i="6"/>
  <c r="I34" i="6" s="1"/>
  <c r="F32" i="6"/>
  <c r="I32" i="6" s="1"/>
  <c r="F30" i="6"/>
  <c r="I30" i="6" s="1"/>
  <c r="F28" i="6"/>
  <c r="I28" i="6" s="1"/>
  <c r="F26" i="6"/>
  <c r="I26" i="6" s="1"/>
  <c r="F24" i="6"/>
  <c r="I24" i="6" s="1"/>
  <c r="F22" i="6"/>
  <c r="I22" i="6" s="1"/>
  <c r="F20" i="6"/>
  <c r="I20" i="6" s="1"/>
  <c r="F18" i="6"/>
  <c r="I18" i="6" s="1"/>
  <c r="F16" i="6"/>
  <c r="I16" i="6" s="1"/>
  <c r="F14" i="6"/>
  <c r="I14" i="6" s="1"/>
  <c r="F12" i="6"/>
  <c r="I12" i="6" s="1"/>
  <c r="F10" i="6"/>
  <c r="I10" i="6" s="1"/>
  <c r="F8" i="6"/>
  <c r="I8" i="6" s="1"/>
  <c r="F6" i="6"/>
  <c r="I6" i="6" s="1"/>
  <c r="B34" i="4"/>
  <c r="E34" i="4" s="1"/>
  <c r="G34" i="4" s="1"/>
  <c r="I34" i="4" s="1"/>
  <c r="L34" i="4" s="1"/>
  <c r="E6" i="14" a="1"/>
  <c r="E6" i="14" s="1"/>
  <c r="D3" i="14" a="1"/>
  <c r="D3" i="14" s="1"/>
  <c r="F3" i="14" a="1"/>
  <c r="F3" i="14" s="1"/>
  <c r="G6" i="14" a="1"/>
  <c r="G6" i="14" s="1"/>
  <c r="B42" i="4"/>
  <c r="E42" i="4" s="1"/>
  <c r="G42" i="4" s="1"/>
  <c r="I42" i="4" s="1"/>
  <c r="L42" i="4" s="1"/>
  <c r="F4" i="6"/>
  <c r="I4" i="6" s="1"/>
  <c r="F13" i="6"/>
  <c r="I13" i="6" s="1"/>
  <c r="F29" i="6"/>
  <c r="I29" i="6" s="1"/>
  <c r="F45" i="6"/>
  <c r="I45" i="6" s="1"/>
  <c r="C52" i="11"/>
  <c r="G3" i="11"/>
  <c r="E19" i="13"/>
  <c r="J19" i="13" s="1"/>
  <c r="R19" i="13"/>
  <c r="Q19" i="13"/>
  <c r="P19" i="13"/>
  <c r="G19" i="13"/>
  <c r="L19" i="13" s="1"/>
  <c r="O19" i="13"/>
  <c r="F19" i="13"/>
  <c r="K19" i="13" s="1"/>
  <c r="D19" i="13"/>
  <c r="I19" i="13" s="1"/>
  <c r="C19" i="13"/>
  <c r="H19" i="13" s="1"/>
  <c r="G21" i="11"/>
  <c r="E39" i="13"/>
  <c r="J39" i="13" s="1"/>
  <c r="C39" i="13"/>
  <c r="H39" i="13" s="1"/>
  <c r="P39" i="13"/>
  <c r="F39" i="13"/>
  <c r="K39" i="13" s="1"/>
  <c r="O39" i="13"/>
  <c r="D39" i="13"/>
  <c r="I39" i="13" s="1"/>
  <c r="R39" i="13"/>
  <c r="Q39" i="13"/>
  <c r="G39" i="13"/>
  <c r="L39" i="13" s="1"/>
  <c r="G44" i="11"/>
  <c r="E27" i="13"/>
  <c r="D27" i="13"/>
  <c r="R27" i="13"/>
  <c r="Q27" i="13"/>
  <c r="G27" i="13"/>
  <c r="P27" i="13"/>
  <c r="F27" i="13"/>
  <c r="O27" i="13"/>
  <c r="C27" i="13"/>
  <c r="O29" i="13"/>
  <c r="G29" i="13"/>
  <c r="C29" i="13"/>
  <c r="R29" i="13"/>
  <c r="F29" i="13"/>
  <c r="Q29" i="13"/>
  <c r="E29" i="13"/>
  <c r="P29" i="13"/>
  <c r="D29" i="13"/>
  <c r="H29" i="11"/>
  <c r="B29" i="13" s="1"/>
  <c r="E5" i="14" a="1"/>
  <c r="E5" i="14" s="1"/>
  <c r="D7" i="14" a="1"/>
  <c r="D7" i="14" s="1"/>
  <c r="F7" i="14" a="1"/>
  <c r="F7" i="14" s="1"/>
  <c r="H7" i="14" s="1"/>
  <c r="K7" i="14" s="1"/>
  <c r="G5" i="14" a="1"/>
  <c r="G5" i="14" s="1"/>
  <c r="B41" i="4"/>
  <c r="B49" i="4"/>
  <c r="E49" i="4" s="1"/>
  <c r="G49" i="4" s="1"/>
  <c r="I49" i="4" s="1"/>
  <c r="L49" i="4" s="1"/>
  <c r="F11" i="6"/>
  <c r="I11" i="6" s="1"/>
  <c r="F27" i="6"/>
  <c r="I27" i="6" s="1"/>
  <c r="F33" i="6"/>
  <c r="I33" i="6" s="1"/>
  <c r="F41" i="6"/>
  <c r="I41" i="6" s="1"/>
  <c r="F51" i="11"/>
  <c r="I6" i="13"/>
  <c r="D10" i="13"/>
  <c r="C10" i="13"/>
  <c r="R10" i="13"/>
  <c r="Q10" i="13"/>
  <c r="P10" i="13"/>
  <c r="O10" i="13"/>
  <c r="G10" i="13"/>
  <c r="F10" i="13"/>
  <c r="E10" i="13"/>
  <c r="H10" i="11"/>
  <c r="B10" i="13" s="1"/>
  <c r="O22" i="13"/>
  <c r="G22" i="13"/>
  <c r="R22" i="13"/>
  <c r="Q22" i="13"/>
  <c r="P22" i="13"/>
  <c r="F22" i="13"/>
  <c r="E22" i="13"/>
  <c r="D22" i="13"/>
  <c r="C22" i="13"/>
  <c r="H22" i="11"/>
  <c r="B22" i="13" s="1"/>
  <c r="H27" i="11"/>
  <c r="B27" i="13" s="1"/>
  <c r="D6" i="14" a="1"/>
  <c r="D6" i="14" s="1"/>
  <c r="D5" i="14" a="1"/>
  <c r="D5" i="14" s="1"/>
  <c r="F6" i="14" a="1"/>
  <c r="F6" i="14" s="1"/>
  <c r="F5" i="14" a="1"/>
  <c r="F5" i="14" s="1"/>
  <c r="H5" i="14" s="1"/>
  <c r="K5" i="14" s="1"/>
  <c r="B4" i="4"/>
  <c r="E4" i="4" s="1"/>
  <c r="G4" i="4" s="1"/>
  <c r="I4" i="4" s="1"/>
  <c r="L4" i="4" s="1"/>
  <c r="B12" i="4"/>
  <c r="E12" i="4" s="1"/>
  <c r="G12" i="4" s="1"/>
  <c r="I12" i="4" s="1"/>
  <c r="L12" i="4" s="1"/>
  <c r="B20" i="4"/>
  <c r="E20" i="4" s="1"/>
  <c r="G20" i="4" s="1"/>
  <c r="I20" i="4" s="1"/>
  <c r="L20" i="4" s="1"/>
  <c r="B28" i="4"/>
  <c r="E28" i="4" s="1"/>
  <c r="G28" i="4" s="1"/>
  <c r="I28" i="4" s="1"/>
  <c r="L28" i="4" s="1"/>
  <c r="D13" i="14" a="1"/>
  <c r="D13" i="14" s="1"/>
  <c r="D9" i="14" a="1"/>
  <c r="D9" i="14" s="1"/>
  <c r="F13" i="14" a="1"/>
  <c r="F13" i="14" s="1"/>
  <c r="F9" i="14" a="1"/>
  <c r="F9" i="14" s="1"/>
  <c r="H9" i="14" s="1"/>
  <c r="K9" i="14" s="1"/>
  <c r="B36" i="4"/>
  <c r="E36" i="4" s="1"/>
  <c r="G36" i="4" s="1"/>
  <c r="I36" i="4" s="1"/>
  <c r="L36" i="4" s="1"/>
  <c r="D38" i="4"/>
  <c r="E38" i="4" s="1"/>
  <c r="G38" i="4" s="1"/>
  <c r="I38" i="4" s="1"/>
  <c r="L38" i="4" s="1"/>
  <c r="H4" i="14"/>
  <c r="K4" i="14" s="1"/>
  <c r="B44" i="4"/>
  <c r="E44" i="4" s="1"/>
  <c r="G44" i="4" s="1"/>
  <c r="I44" i="4" s="1"/>
  <c r="L44" i="4" s="1"/>
  <c r="E13" i="14" a="1"/>
  <c r="E13" i="14" s="1"/>
  <c r="D8" i="14" a="1"/>
  <c r="D8" i="14" s="1"/>
  <c r="F8" i="14" a="1"/>
  <c r="F8" i="14" s="1"/>
  <c r="G13" i="14" a="1"/>
  <c r="G13" i="14" s="1"/>
  <c r="F17" i="6"/>
  <c r="I17" i="6" s="1"/>
  <c r="G5" i="11"/>
  <c r="G25" i="11"/>
  <c r="B7" i="4"/>
  <c r="E7" i="4" s="1"/>
  <c r="G7" i="4" s="1"/>
  <c r="I7" i="4" s="1"/>
  <c r="L7" i="4" s="1"/>
  <c r="B15" i="4"/>
  <c r="E15" i="4" s="1"/>
  <c r="G15" i="4" s="1"/>
  <c r="I15" i="4" s="1"/>
  <c r="L15" i="4" s="1"/>
  <c r="B23" i="4"/>
  <c r="E23" i="4" s="1"/>
  <c r="G23" i="4" s="1"/>
  <c r="I23" i="4" s="1"/>
  <c r="L23" i="4" s="1"/>
  <c r="D12" i="14" a="1"/>
  <c r="D12" i="14" s="1"/>
  <c r="D11" i="14" a="1"/>
  <c r="D11" i="14" s="1"/>
  <c r="D10" i="14" a="1"/>
  <c r="D10" i="14" s="1"/>
  <c r="F12" i="14" a="1"/>
  <c r="F12" i="14" s="1"/>
  <c r="H12" i="14" s="1"/>
  <c r="K12" i="14" s="1"/>
  <c r="F11" i="14" a="1"/>
  <c r="F11" i="14" s="1"/>
  <c r="F10" i="14" a="1"/>
  <c r="F10" i="14" s="1"/>
  <c r="H10" i="14" s="1"/>
  <c r="K10" i="14" s="1"/>
  <c r="B31" i="4"/>
  <c r="E31" i="4" s="1"/>
  <c r="G31" i="4" s="1"/>
  <c r="I31" i="4" s="1"/>
  <c r="L31" i="4" s="1"/>
  <c r="B39" i="4"/>
  <c r="E39" i="4" s="1"/>
  <c r="G39" i="4" s="1"/>
  <c r="I39" i="4" s="1"/>
  <c r="L39" i="4" s="1"/>
  <c r="D41" i="4"/>
  <c r="F7" i="6"/>
  <c r="I7" i="6" s="1"/>
  <c r="F23" i="6"/>
  <c r="I23" i="6" s="1"/>
  <c r="F35" i="6"/>
  <c r="I35" i="6" s="1"/>
  <c r="F43" i="6"/>
  <c r="I43" i="6" s="1"/>
  <c r="B52" i="11"/>
  <c r="C24" i="13"/>
  <c r="R24" i="13"/>
  <c r="Q24" i="13"/>
  <c r="P24" i="13"/>
  <c r="G24" i="13"/>
  <c r="O24" i="13"/>
  <c r="F24" i="13"/>
  <c r="E24" i="13"/>
  <c r="D24" i="13"/>
  <c r="H24" i="11"/>
  <c r="B24" i="13" s="1"/>
  <c r="G41" i="11"/>
  <c r="Q45" i="13"/>
  <c r="O45" i="13"/>
  <c r="G45" i="13"/>
  <c r="E45" i="13"/>
  <c r="F45" i="13"/>
  <c r="R45" i="13"/>
  <c r="D45" i="13"/>
  <c r="C45" i="13"/>
  <c r="P45" i="13"/>
  <c r="H45" i="11"/>
  <c r="B45" i="13" s="1"/>
  <c r="G4" i="11"/>
  <c r="E51" i="11"/>
  <c r="D6" i="13"/>
  <c r="C6" i="13"/>
  <c r="H6" i="13" s="1"/>
  <c r="R6" i="13"/>
  <c r="Q6" i="13"/>
  <c r="P6" i="13"/>
  <c r="O6" i="13"/>
  <c r="G6" i="13"/>
  <c r="L6" i="13" s="1"/>
  <c r="F6" i="13"/>
  <c r="K6" i="13" s="1"/>
  <c r="E6" i="13"/>
  <c r="J6" i="13" s="1"/>
  <c r="G17" i="11"/>
  <c r="G30" i="11"/>
  <c r="O46" i="13"/>
  <c r="G46" i="13"/>
  <c r="E46" i="13"/>
  <c r="C46" i="13"/>
  <c r="F46" i="13"/>
  <c r="D46" i="13"/>
  <c r="R46" i="13"/>
  <c r="Q46" i="13"/>
  <c r="P46" i="13"/>
  <c r="C48" i="13"/>
  <c r="Q48" i="13"/>
  <c r="O48" i="13"/>
  <c r="G48" i="13"/>
  <c r="F48" i="13"/>
  <c r="R48" i="13"/>
  <c r="P48" i="13"/>
  <c r="E48" i="13"/>
  <c r="D48" i="13"/>
  <c r="H48" i="11"/>
  <c r="B48" i="13" s="1"/>
  <c r="D52" i="11"/>
  <c r="D51" i="11"/>
  <c r="Q28" i="13"/>
  <c r="C28" i="13"/>
  <c r="H28" i="13" s="1"/>
  <c r="G28" i="13"/>
  <c r="L28" i="13" s="1"/>
  <c r="R28" i="13"/>
  <c r="F28" i="13"/>
  <c r="K28" i="13" s="1"/>
  <c r="P28" i="13"/>
  <c r="E28" i="13"/>
  <c r="J28" i="13" s="1"/>
  <c r="O28" i="13"/>
  <c r="D28" i="13"/>
  <c r="I28" i="13" s="1"/>
  <c r="H46" i="11"/>
  <c r="B46" i="13" s="1"/>
  <c r="E56" i="11"/>
  <c r="E55" i="11"/>
  <c r="E52" i="11"/>
  <c r="C51" i="11"/>
  <c r="G35" i="11"/>
  <c r="G42" i="11"/>
  <c r="G47" i="11"/>
  <c r="G9" i="11"/>
  <c r="G23" i="11"/>
  <c r="G34" i="11"/>
  <c r="F55" i="11"/>
  <c r="F52" i="11"/>
  <c r="F56" i="11"/>
  <c r="G32" i="11"/>
  <c r="B51" i="11"/>
  <c r="B7" i="15"/>
  <c r="C7" i="15"/>
  <c r="C8" i="15" s="1"/>
  <c r="B8" i="15"/>
  <c r="B38" i="6" l="1"/>
  <c r="J38" i="6" s="1"/>
  <c r="B38" i="7"/>
  <c r="J38" i="7" s="1"/>
  <c r="B38" i="5"/>
  <c r="C22" i="15"/>
  <c r="F17" i="15"/>
  <c r="F16" i="15"/>
  <c r="F15" i="15"/>
  <c r="F14" i="15"/>
  <c r="E23" i="13"/>
  <c r="R23" i="13"/>
  <c r="Q23" i="13"/>
  <c r="P23" i="13"/>
  <c r="G23" i="13"/>
  <c r="O23" i="13"/>
  <c r="F23" i="13"/>
  <c r="D23" i="13"/>
  <c r="C23" i="13"/>
  <c r="H23" i="11"/>
  <c r="B23" i="13" s="1"/>
  <c r="Q32" i="13"/>
  <c r="C32" i="13"/>
  <c r="G32" i="13"/>
  <c r="R32" i="13"/>
  <c r="F32" i="13"/>
  <c r="P32" i="13"/>
  <c r="E32" i="13"/>
  <c r="O32" i="13"/>
  <c r="D32" i="13"/>
  <c r="H32" i="11"/>
  <c r="B32" i="13" s="1"/>
  <c r="O42" i="13"/>
  <c r="G42" i="13"/>
  <c r="E42" i="13"/>
  <c r="R42" i="13"/>
  <c r="C42" i="13"/>
  <c r="Q42" i="13"/>
  <c r="P42" i="13"/>
  <c r="F42" i="13"/>
  <c r="D42" i="13"/>
  <c r="H42" i="11"/>
  <c r="B42" i="13" s="1"/>
  <c r="H11" i="14"/>
  <c r="K11" i="14" s="1"/>
  <c r="Q25" i="13"/>
  <c r="P25" i="13"/>
  <c r="H25" i="11"/>
  <c r="B25" i="13" s="1"/>
  <c r="G25" i="13"/>
  <c r="R25" i="13"/>
  <c r="F25" i="13"/>
  <c r="O25" i="13"/>
  <c r="E25" i="13"/>
  <c r="D25" i="13"/>
  <c r="C25" i="13"/>
  <c r="B20" i="7"/>
  <c r="J20" i="7" s="1"/>
  <c r="B20" i="6"/>
  <c r="J20" i="6" s="1"/>
  <c r="B20" i="5"/>
  <c r="J22" i="13"/>
  <c r="I22" i="13"/>
  <c r="H22" i="13"/>
  <c r="L22" i="13"/>
  <c r="K22" i="13"/>
  <c r="B46" i="7"/>
  <c r="J46" i="7" s="1"/>
  <c r="B46" i="6"/>
  <c r="J46" i="6" s="1"/>
  <c r="B46" i="5"/>
  <c r="K17" i="7"/>
  <c r="D17" i="8" s="1"/>
  <c r="M17" i="7"/>
  <c r="J17" i="8" s="1"/>
  <c r="J11" i="13"/>
  <c r="I11" i="13"/>
  <c r="H11" i="13"/>
  <c r="L11" i="13"/>
  <c r="K11" i="13"/>
  <c r="J10" i="7"/>
  <c r="J22" i="7"/>
  <c r="E9" i="5"/>
  <c r="C9" i="8" s="1"/>
  <c r="G9" i="5"/>
  <c r="I9" i="8" s="1"/>
  <c r="G26" i="5"/>
  <c r="I26" i="8" s="1"/>
  <c r="E26" i="5"/>
  <c r="C26" i="8" s="1"/>
  <c r="B10" i="1"/>
  <c r="L17" i="7" s="1"/>
  <c r="G17" i="8" s="1"/>
  <c r="B21" i="2"/>
  <c r="G27" i="5"/>
  <c r="I27" i="8" s="1"/>
  <c r="E27" i="5"/>
  <c r="C27" i="8" s="1"/>
  <c r="E14" i="15"/>
  <c r="B22" i="15"/>
  <c r="E17" i="15"/>
  <c r="E16" i="15"/>
  <c r="E15" i="15"/>
  <c r="Q21" i="13"/>
  <c r="R21" i="13"/>
  <c r="P21" i="13"/>
  <c r="G21" i="13"/>
  <c r="O21" i="13"/>
  <c r="F21" i="13"/>
  <c r="E21" i="13"/>
  <c r="D21" i="13"/>
  <c r="C21" i="13"/>
  <c r="H21" i="11"/>
  <c r="B21" i="13" s="1"/>
  <c r="B43" i="7"/>
  <c r="J43" i="7" s="1"/>
  <c r="B43" i="6"/>
  <c r="J43" i="6" s="1"/>
  <c r="B43" i="5"/>
  <c r="B45" i="6"/>
  <c r="J45" i="6" s="1"/>
  <c r="B45" i="7"/>
  <c r="J45" i="7" s="1"/>
  <c r="B45" i="5"/>
  <c r="L17" i="6"/>
  <c r="E17" i="8" s="1"/>
  <c r="K17" i="6"/>
  <c r="B17" i="8" s="1"/>
  <c r="M17" i="6"/>
  <c r="H17" i="8" s="1"/>
  <c r="G19" i="5"/>
  <c r="I19" i="8" s="1"/>
  <c r="E19" i="5"/>
  <c r="C19" i="8" s="1"/>
  <c r="B8" i="7"/>
  <c r="J8" i="7" s="1"/>
  <c r="B8" i="5"/>
  <c r="B8" i="6"/>
  <c r="J8" i="6" s="1"/>
  <c r="B37" i="6"/>
  <c r="J37" i="6" s="1"/>
  <c r="B37" i="7"/>
  <c r="J37" i="7" s="1"/>
  <c r="B37" i="5"/>
  <c r="B14" i="6"/>
  <c r="J14" i="6" s="1"/>
  <c r="B14" i="5"/>
  <c r="B14" i="7"/>
  <c r="J14" i="7" s="1"/>
  <c r="G10" i="5"/>
  <c r="I10" i="8" s="1"/>
  <c r="E10" i="5"/>
  <c r="C10" i="8" s="1"/>
  <c r="J40" i="6"/>
  <c r="M9" i="6"/>
  <c r="H9" i="8" s="1"/>
  <c r="L9" i="6"/>
  <c r="E9" i="8" s="1"/>
  <c r="K9" i="6"/>
  <c r="B9" i="8" s="1"/>
  <c r="J26" i="6"/>
  <c r="G47" i="5"/>
  <c r="I47" i="8" s="1"/>
  <c r="E47" i="5"/>
  <c r="C47" i="8" s="1"/>
  <c r="J27" i="6"/>
  <c r="E35" i="13"/>
  <c r="C35" i="13"/>
  <c r="P35" i="13"/>
  <c r="F35" i="13"/>
  <c r="O35" i="13"/>
  <c r="D35" i="13"/>
  <c r="G35" i="13"/>
  <c r="R35" i="13"/>
  <c r="Q35" i="13"/>
  <c r="H35" i="11"/>
  <c r="B35" i="13" s="1"/>
  <c r="P4" i="13"/>
  <c r="O4" i="13"/>
  <c r="G4" i="13"/>
  <c r="F4" i="13"/>
  <c r="E4" i="13"/>
  <c r="D4" i="13"/>
  <c r="C4" i="13"/>
  <c r="R4" i="13"/>
  <c r="Q4" i="13"/>
  <c r="H4" i="11"/>
  <c r="B4" i="13" s="1"/>
  <c r="F5" i="13"/>
  <c r="E5" i="13"/>
  <c r="D5" i="13"/>
  <c r="C5" i="13"/>
  <c r="R5" i="13"/>
  <c r="G51" i="11"/>
  <c r="H53" i="11" s="1"/>
  <c r="Q5" i="13"/>
  <c r="P5" i="13"/>
  <c r="O5" i="13"/>
  <c r="G5" i="13"/>
  <c r="H5" i="11"/>
  <c r="B12" i="5"/>
  <c r="B12" i="6"/>
  <c r="J12" i="6" s="1"/>
  <c r="B12" i="7"/>
  <c r="J12" i="7" s="1"/>
  <c r="B42" i="7"/>
  <c r="J42" i="7" s="1"/>
  <c r="B42" i="6"/>
  <c r="J42" i="6" s="1"/>
  <c r="B42" i="5"/>
  <c r="K48" i="13"/>
  <c r="I48" i="13"/>
  <c r="L48" i="13"/>
  <c r="J48" i="13"/>
  <c r="H48" i="13"/>
  <c r="I45" i="13"/>
  <c r="J45" i="13"/>
  <c r="H45" i="13"/>
  <c r="L45" i="13"/>
  <c r="K45" i="13"/>
  <c r="B36" i="7"/>
  <c r="J36" i="7" s="1"/>
  <c r="B36" i="5"/>
  <c r="B36" i="6"/>
  <c r="J36" i="6" s="1"/>
  <c r="B4" i="7"/>
  <c r="J4" i="7" s="1"/>
  <c r="B4" i="5"/>
  <c r="B4" i="6"/>
  <c r="J4" i="6" s="1"/>
  <c r="L10" i="13"/>
  <c r="K10" i="13"/>
  <c r="J10" i="13"/>
  <c r="I10" i="13"/>
  <c r="H10" i="13"/>
  <c r="L14" i="13"/>
  <c r="K14" i="13"/>
  <c r="J14" i="13"/>
  <c r="I14" i="13"/>
  <c r="H14" i="13"/>
  <c r="B24" i="5"/>
  <c r="B24" i="7"/>
  <c r="J24" i="7" s="1"/>
  <c r="B24" i="6"/>
  <c r="J24" i="6" s="1"/>
  <c r="B16" i="5"/>
  <c r="B16" i="7"/>
  <c r="J16" i="7" s="1"/>
  <c r="B16" i="6"/>
  <c r="J16" i="6" s="1"/>
  <c r="K19" i="7"/>
  <c r="D19" i="8" s="1"/>
  <c r="M19" i="7"/>
  <c r="J19" i="8" s="1"/>
  <c r="L19" i="7"/>
  <c r="G19" i="8" s="1"/>
  <c r="K31" i="13"/>
  <c r="L31" i="13"/>
  <c r="J31" i="13"/>
  <c r="I31" i="13"/>
  <c r="H31" i="13"/>
  <c r="B32" i="7"/>
  <c r="J32" i="7" s="1"/>
  <c r="B32" i="5"/>
  <c r="B32" i="6"/>
  <c r="J32" i="6" s="1"/>
  <c r="H8" i="13"/>
  <c r="L8" i="13"/>
  <c r="K8" i="13"/>
  <c r="J8" i="13"/>
  <c r="I8" i="13"/>
  <c r="B11" i="6"/>
  <c r="J11" i="6" s="1"/>
  <c r="B11" i="7"/>
  <c r="J11" i="7" s="1"/>
  <c r="B11" i="5"/>
  <c r="J10" i="6"/>
  <c r="G40" i="5"/>
  <c r="I40" i="8" s="1"/>
  <c r="E40" i="5"/>
  <c r="C40" i="8" s="1"/>
  <c r="L3" i="6"/>
  <c r="E3" i="8" s="1"/>
  <c r="K3" i="6"/>
  <c r="B3" i="8" s="1"/>
  <c r="M3" i="6"/>
  <c r="H3" i="8" s="1"/>
  <c r="J26" i="7"/>
  <c r="J47" i="7"/>
  <c r="G6" i="5"/>
  <c r="I6" i="8" s="1"/>
  <c r="E6" i="5"/>
  <c r="C6" i="8" s="1"/>
  <c r="R3" i="13"/>
  <c r="Q3" i="13"/>
  <c r="P3" i="13"/>
  <c r="O3" i="13"/>
  <c r="G3" i="13"/>
  <c r="F3" i="13"/>
  <c r="E3" i="13"/>
  <c r="G52" i="11"/>
  <c r="D3" i="13"/>
  <c r="C3" i="13"/>
  <c r="H3" i="11"/>
  <c r="H3" i="14"/>
  <c r="K3" i="14" s="1"/>
  <c r="P12" i="13"/>
  <c r="O12" i="13"/>
  <c r="G12" i="13"/>
  <c r="F12" i="13"/>
  <c r="E12" i="13"/>
  <c r="D12" i="13"/>
  <c r="C12" i="13"/>
  <c r="R12" i="13"/>
  <c r="Q12" i="13"/>
  <c r="H12" i="11"/>
  <c r="B12" i="13" s="1"/>
  <c r="B18" i="7"/>
  <c r="J18" i="7" s="1"/>
  <c r="B18" i="6"/>
  <c r="J18" i="6" s="1"/>
  <c r="B18" i="5"/>
  <c r="K20" i="13"/>
  <c r="J20" i="13"/>
  <c r="I20" i="13"/>
  <c r="H20" i="13"/>
  <c r="L20" i="13"/>
  <c r="M19" i="6"/>
  <c r="H19" i="8" s="1"/>
  <c r="L19" i="6"/>
  <c r="E19" i="8" s="1"/>
  <c r="K19" i="6"/>
  <c r="B19" i="8" s="1"/>
  <c r="K43" i="13"/>
  <c r="I43" i="13"/>
  <c r="L43" i="13"/>
  <c r="J43" i="13"/>
  <c r="H43" i="13"/>
  <c r="B29" i="6"/>
  <c r="J29" i="6" s="1"/>
  <c r="B29" i="7"/>
  <c r="J29" i="7" s="1"/>
  <c r="B29" i="5"/>
  <c r="E13" i="5"/>
  <c r="C13" i="8" s="1"/>
  <c r="G13" i="5"/>
  <c r="I13" i="8" s="1"/>
  <c r="J5" i="7"/>
  <c r="J40" i="7"/>
  <c r="G3" i="5"/>
  <c r="I3" i="8" s="1"/>
  <c r="E3" i="5"/>
  <c r="C3" i="8" s="1"/>
  <c r="L13" i="13"/>
  <c r="K13" i="13"/>
  <c r="J13" i="13"/>
  <c r="I13" i="13"/>
  <c r="H13" i="13"/>
  <c r="J47" i="6"/>
  <c r="J6" i="6"/>
  <c r="O34" i="13"/>
  <c r="E34" i="13"/>
  <c r="C34" i="13"/>
  <c r="G34" i="13"/>
  <c r="R34" i="13"/>
  <c r="F34" i="13"/>
  <c r="Q34" i="13"/>
  <c r="D34" i="13"/>
  <c r="P34" i="13"/>
  <c r="H34" i="11"/>
  <c r="B34" i="13" s="1"/>
  <c r="H8" i="14"/>
  <c r="K8" i="14" s="1"/>
  <c r="H13" i="14"/>
  <c r="K13" i="14" s="1"/>
  <c r="H6" i="14"/>
  <c r="K6" i="14" s="1"/>
  <c r="L29" i="13"/>
  <c r="K29" i="13"/>
  <c r="J29" i="13"/>
  <c r="I29" i="13"/>
  <c r="H29" i="13"/>
  <c r="J7" i="13"/>
  <c r="I7" i="13"/>
  <c r="H7" i="13"/>
  <c r="L7" i="13"/>
  <c r="K7" i="13"/>
  <c r="K36" i="13"/>
  <c r="I36" i="13"/>
  <c r="L36" i="13"/>
  <c r="J36" i="13"/>
  <c r="H36" i="13"/>
  <c r="J13" i="6"/>
  <c r="E5" i="5"/>
  <c r="C5" i="8" s="1"/>
  <c r="G5" i="5"/>
  <c r="I5" i="8" s="1"/>
  <c r="E25" i="5"/>
  <c r="C25" i="8" s="1"/>
  <c r="G25" i="5"/>
  <c r="I25" i="8" s="1"/>
  <c r="M3" i="7"/>
  <c r="J3" i="8" s="1"/>
  <c r="K3" i="7"/>
  <c r="D3" i="8" s="1"/>
  <c r="G35" i="5"/>
  <c r="I35" i="8" s="1"/>
  <c r="E35" i="5"/>
  <c r="C35" i="8" s="1"/>
  <c r="J6" i="7"/>
  <c r="Q41" i="13"/>
  <c r="O41" i="13"/>
  <c r="G41" i="13"/>
  <c r="F41" i="13"/>
  <c r="E41" i="13"/>
  <c r="R41" i="13"/>
  <c r="D41" i="13"/>
  <c r="H41" i="11"/>
  <c r="B41" i="13" s="1"/>
  <c r="P41" i="13"/>
  <c r="C41" i="13"/>
  <c r="B39" i="6"/>
  <c r="J39" i="6" s="1"/>
  <c r="B39" i="7"/>
  <c r="J39" i="7" s="1"/>
  <c r="B39" i="5"/>
  <c r="L26" i="13"/>
  <c r="K26" i="13"/>
  <c r="J26" i="13"/>
  <c r="I26" i="13"/>
  <c r="H26" i="13"/>
  <c r="J18" i="13"/>
  <c r="I18" i="13"/>
  <c r="H18" i="13"/>
  <c r="L18" i="13"/>
  <c r="K18" i="13"/>
  <c r="K40" i="13"/>
  <c r="I40" i="13"/>
  <c r="L40" i="13"/>
  <c r="J40" i="13"/>
  <c r="H40" i="13"/>
  <c r="I49" i="13"/>
  <c r="L49" i="13"/>
  <c r="H49" i="13"/>
  <c r="K49" i="13"/>
  <c r="J49" i="13"/>
  <c r="J13" i="7"/>
  <c r="K5" i="6"/>
  <c r="B5" i="8" s="1"/>
  <c r="L5" i="6"/>
  <c r="E5" i="8" s="1"/>
  <c r="M5" i="6"/>
  <c r="H5" i="8" s="1"/>
  <c r="M25" i="6"/>
  <c r="H25" i="8" s="1"/>
  <c r="L25" i="6"/>
  <c r="E25" i="8" s="1"/>
  <c r="K25" i="6"/>
  <c r="B25" i="8" s="1"/>
  <c r="J21" i="7"/>
  <c r="J33" i="7"/>
  <c r="J35" i="7"/>
  <c r="K30" i="7"/>
  <c r="D30" i="8" s="1"/>
  <c r="L30" i="7"/>
  <c r="G30" i="8" s="1"/>
  <c r="M30" i="7"/>
  <c r="J30" i="8" s="1"/>
  <c r="E30" i="13"/>
  <c r="C30" i="13"/>
  <c r="R30" i="13"/>
  <c r="G30" i="13"/>
  <c r="Q30" i="13"/>
  <c r="F30" i="13"/>
  <c r="P30" i="13"/>
  <c r="D30" i="13"/>
  <c r="O30" i="13"/>
  <c r="H30" i="11"/>
  <c r="B30" i="13" s="1"/>
  <c r="K24" i="13"/>
  <c r="J24" i="13"/>
  <c r="I24" i="13"/>
  <c r="H24" i="13"/>
  <c r="L24" i="13"/>
  <c r="B23" i="6"/>
  <c r="J23" i="6" s="1"/>
  <c r="B23" i="5"/>
  <c r="B23" i="7"/>
  <c r="J23" i="7" s="1"/>
  <c r="F9" i="13"/>
  <c r="E9" i="13"/>
  <c r="D9" i="13"/>
  <c r="H9" i="11"/>
  <c r="B9" i="13" s="1"/>
  <c r="C9" i="13"/>
  <c r="R9" i="13"/>
  <c r="Q9" i="13"/>
  <c r="P9" i="13"/>
  <c r="O9" i="13"/>
  <c r="G9" i="13"/>
  <c r="K46" i="13"/>
  <c r="L46" i="13"/>
  <c r="J46" i="13"/>
  <c r="I46" i="13"/>
  <c r="H46" i="13"/>
  <c r="Q17" i="13"/>
  <c r="R17" i="13"/>
  <c r="P17" i="13"/>
  <c r="G17" i="13"/>
  <c r="H17" i="11"/>
  <c r="B17" i="13" s="1"/>
  <c r="O17" i="13"/>
  <c r="F17" i="13"/>
  <c r="E17" i="13"/>
  <c r="D17" i="13"/>
  <c r="C17" i="13"/>
  <c r="B31" i="6"/>
  <c r="J31" i="6" s="1"/>
  <c r="B31" i="5"/>
  <c r="B31" i="7"/>
  <c r="J31" i="7" s="1"/>
  <c r="B15" i="6"/>
  <c r="J15" i="6" s="1"/>
  <c r="B15" i="7"/>
  <c r="J15" i="7" s="1"/>
  <c r="B15" i="5"/>
  <c r="B49" i="6"/>
  <c r="J49" i="6" s="1"/>
  <c r="B49" i="7"/>
  <c r="J49" i="7" s="1"/>
  <c r="B49" i="5"/>
  <c r="B34" i="7"/>
  <c r="J34" i="7" s="1"/>
  <c r="B34" i="6"/>
  <c r="J34" i="6" s="1"/>
  <c r="B34" i="5"/>
  <c r="K16" i="13"/>
  <c r="J16" i="13"/>
  <c r="I16" i="13"/>
  <c r="H16" i="13"/>
  <c r="L16" i="13"/>
  <c r="L33" i="13"/>
  <c r="K33" i="13"/>
  <c r="J33" i="13"/>
  <c r="I33" i="13"/>
  <c r="H33" i="13"/>
  <c r="B22" i="2"/>
  <c r="I37" i="13"/>
  <c r="J37" i="13"/>
  <c r="H37" i="13"/>
  <c r="L37" i="13"/>
  <c r="K37" i="13"/>
  <c r="G22" i="5"/>
  <c r="I22" i="8" s="1"/>
  <c r="E22" i="5"/>
  <c r="C22" i="8" s="1"/>
  <c r="J25" i="7"/>
  <c r="E21" i="5"/>
  <c r="C21" i="8" s="1"/>
  <c r="G21" i="5"/>
  <c r="I21" i="8" s="1"/>
  <c r="E33" i="5"/>
  <c r="G33" i="5"/>
  <c r="I33" i="8" s="1"/>
  <c r="J35" i="6"/>
  <c r="G30" i="5"/>
  <c r="I30" i="8" s="1"/>
  <c r="E30" i="5"/>
  <c r="C30" i="8" s="1"/>
  <c r="E47" i="13"/>
  <c r="C47" i="13"/>
  <c r="Q47" i="13"/>
  <c r="G47" i="13"/>
  <c r="R47" i="13"/>
  <c r="F47" i="13"/>
  <c r="P47" i="13"/>
  <c r="O47" i="13"/>
  <c r="D47" i="13"/>
  <c r="H47" i="11"/>
  <c r="B47" i="13" s="1"/>
  <c r="B7" i="6"/>
  <c r="J7" i="6" s="1"/>
  <c r="B7" i="7"/>
  <c r="J7" i="7" s="1"/>
  <c r="B7" i="5"/>
  <c r="B44" i="7"/>
  <c r="J44" i="7" s="1"/>
  <c r="B44" i="5"/>
  <c r="B44" i="6"/>
  <c r="J44" i="6" s="1"/>
  <c r="B28" i="7"/>
  <c r="J28" i="7" s="1"/>
  <c r="B28" i="5"/>
  <c r="B28" i="6"/>
  <c r="J28" i="6" s="1"/>
  <c r="L27" i="13"/>
  <c r="H27" i="13"/>
  <c r="K27" i="13"/>
  <c r="J27" i="13"/>
  <c r="I27" i="13"/>
  <c r="E41" i="4"/>
  <c r="G41" i="4" s="1"/>
  <c r="I41" i="4" s="1"/>
  <c r="L41" i="4" s="1"/>
  <c r="C44" i="13"/>
  <c r="Q44" i="13"/>
  <c r="O44" i="13"/>
  <c r="G44" i="13"/>
  <c r="F44" i="13"/>
  <c r="E44" i="13"/>
  <c r="D44" i="13"/>
  <c r="R44" i="13"/>
  <c r="P44" i="13"/>
  <c r="H44" i="11"/>
  <c r="B44" i="13" s="1"/>
  <c r="B48" i="6"/>
  <c r="J48" i="6" s="1"/>
  <c r="B48" i="5"/>
  <c r="B48" i="7"/>
  <c r="J48" i="7" s="1"/>
  <c r="E17" i="5"/>
  <c r="C17" i="8" s="1"/>
  <c r="G17" i="5"/>
  <c r="I17" i="8" s="1"/>
  <c r="L38" i="13"/>
  <c r="K38" i="13"/>
  <c r="H38" i="13"/>
  <c r="J38" i="13"/>
  <c r="I38" i="13"/>
  <c r="J22" i="6"/>
  <c r="J9" i="7"/>
  <c r="K21" i="6"/>
  <c r="B21" i="8" s="1"/>
  <c r="L21" i="6"/>
  <c r="E21" i="8" s="1"/>
  <c r="M21" i="6"/>
  <c r="H21" i="8" s="1"/>
  <c r="J33" i="6"/>
  <c r="J27" i="7"/>
  <c r="J30" i="6"/>
  <c r="M44" i="7" l="1"/>
  <c r="J44" i="8" s="1"/>
  <c r="L44" i="7"/>
  <c r="G44" i="8" s="1"/>
  <c r="K44" i="7"/>
  <c r="D44" i="8" s="1"/>
  <c r="M25" i="7"/>
  <c r="J25" i="8" s="1"/>
  <c r="K25" i="7"/>
  <c r="D25" i="8" s="1"/>
  <c r="L25" i="7"/>
  <c r="G25" i="8" s="1"/>
  <c r="M49" i="7"/>
  <c r="J49" i="8" s="1"/>
  <c r="L49" i="7"/>
  <c r="G49" i="8" s="1"/>
  <c r="K49" i="7"/>
  <c r="D49" i="8" s="1"/>
  <c r="K21" i="7"/>
  <c r="D21" i="8" s="1"/>
  <c r="M21" i="7"/>
  <c r="J21" i="8" s="1"/>
  <c r="L21" i="7"/>
  <c r="G21" i="8" s="1"/>
  <c r="B3" i="13"/>
  <c r="H52" i="11"/>
  <c r="B54" i="13" a="1"/>
  <c r="B54" i="13" s="1"/>
  <c r="K11" i="7"/>
  <c r="D11" i="8" s="1"/>
  <c r="L11" i="7"/>
  <c r="G11" i="8" s="1"/>
  <c r="M11" i="7"/>
  <c r="J11" i="8" s="1"/>
  <c r="G32" i="5"/>
  <c r="I32" i="8" s="1"/>
  <c r="E32" i="5"/>
  <c r="C32" i="8" s="1"/>
  <c r="H51" i="11"/>
  <c r="B5" i="13"/>
  <c r="K37" i="6"/>
  <c r="B37" i="8" s="1"/>
  <c r="M37" i="6"/>
  <c r="H37" i="8" s="1"/>
  <c r="L37" i="6"/>
  <c r="E37" i="8" s="1"/>
  <c r="I21" i="13"/>
  <c r="J21" i="13"/>
  <c r="H21" i="13"/>
  <c r="L21" i="13"/>
  <c r="K21" i="13"/>
  <c r="K35" i="6"/>
  <c r="B35" i="8" s="1"/>
  <c r="L35" i="6"/>
  <c r="E35" i="8" s="1"/>
  <c r="M35" i="6"/>
  <c r="H35" i="8" s="1"/>
  <c r="C54" i="13" a="1"/>
  <c r="C54" i="13" s="1"/>
  <c r="K11" i="6"/>
  <c r="B11" i="8" s="1"/>
  <c r="M11" i="6"/>
  <c r="H11" i="8" s="1"/>
  <c r="L11" i="6"/>
  <c r="E11" i="8" s="1"/>
  <c r="L32" i="7"/>
  <c r="G32" i="8" s="1"/>
  <c r="K32" i="7"/>
  <c r="D32" i="8" s="1"/>
  <c r="M32" i="7"/>
  <c r="J32" i="8" s="1"/>
  <c r="M8" i="6"/>
  <c r="H8" i="8" s="1"/>
  <c r="L8" i="6"/>
  <c r="E8" i="8" s="1"/>
  <c r="K8" i="6"/>
  <c r="B8" i="8" s="1"/>
  <c r="G15" i="5"/>
  <c r="I15" i="8" s="1"/>
  <c r="E15" i="5"/>
  <c r="C15" i="8" s="1"/>
  <c r="G23" i="5"/>
  <c r="I23" i="8" s="1"/>
  <c r="E23" i="5"/>
  <c r="C23" i="8" s="1"/>
  <c r="E29" i="5"/>
  <c r="C29" i="8" s="1"/>
  <c r="G29" i="5"/>
  <c r="I29" i="8" s="1"/>
  <c r="G18" i="5"/>
  <c r="I18" i="8" s="1"/>
  <c r="F18" i="5"/>
  <c r="F18" i="8" s="1"/>
  <c r="E18" i="5"/>
  <c r="C18" i="8" s="1"/>
  <c r="D51" i="13" a="1"/>
  <c r="D51" i="13" s="1"/>
  <c r="D54" i="13" a="1"/>
  <c r="D54" i="13" s="1"/>
  <c r="M16" i="6"/>
  <c r="H16" i="8" s="1"/>
  <c r="K16" i="6"/>
  <c r="B16" i="8" s="1"/>
  <c r="L16" i="6"/>
  <c r="E16" i="8" s="1"/>
  <c r="M4" i="6"/>
  <c r="H4" i="8" s="1"/>
  <c r="L4" i="6"/>
  <c r="E4" i="8" s="1"/>
  <c r="K4" i="6"/>
  <c r="B4" i="8" s="1"/>
  <c r="G42" i="5"/>
  <c r="I42" i="8" s="1"/>
  <c r="E42" i="5"/>
  <c r="C42" i="8" s="1"/>
  <c r="C21" i="15" s="1"/>
  <c r="E8" i="5"/>
  <c r="C8" i="8" s="1"/>
  <c r="G8" i="5"/>
  <c r="I8" i="8" s="1"/>
  <c r="E45" i="5"/>
  <c r="C45" i="8" s="1"/>
  <c r="G45" i="5"/>
  <c r="I45" i="8" s="1"/>
  <c r="K22" i="7"/>
  <c r="D22" i="8" s="1"/>
  <c r="L22" i="7"/>
  <c r="G22" i="8" s="1"/>
  <c r="M22" i="7"/>
  <c r="J22" i="8" s="1"/>
  <c r="K42" i="13"/>
  <c r="L42" i="13"/>
  <c r="J42" i="13"/>
  <c r="I42" i="13"/>
  <c r="H42" i="13"/>
  <c r="M48" i="7"/>
  <c r="J48" i="8" s="1"/>
  <c r="L48" i="7"/>
  <c r="G48" i="8" s="1"/>
  <c r="K48" i="7"/>
  <c r="D48" i="8" s="1"/>
  <c r="M42" i="6"/>
  <c r="H42" i="8" s="1"/>
  <c r="K42" i="6"/>
  <c r="B42" i="8" s="1"/>
  <c r="B21" i="15" s="1"/>
  <c r="L42" i="6"/>
  <c r="E42" i="8" s="1"/>
  <c r="E21" i="15" s="1"/>
  <c r="H4" i="13"/>
  <c r="L4" i="13"/>
  <c r="K4" i="13"/>
  <c r="J4" i="13"/>
  <c r="I4" i="13"/>
  <c r="M26" i="6"/>
  <c r="H26" i="8" s="1"/>
  <c r="K26" i="6"/>
  <c r="B26" i="8" s="1"/>
  <c r="L26" i="6"/>
  <c r="E26" i="8" s="1"/>
  <c r="M14" i="7"/>
  <c r="J14" i="8" s="1"/>
  <c r="K14" i="7"/>
  <c r="D14" i="8" s="1"/>
  <c r="L14" i="7"/>
  <c r="G14" i="8" s="1"/>
  <c r="L8" i="7"/>
  <c r="G8" i="8" s="1"/>
  <c r="K8" i="7"/>
  <c r="D8" i="8" s="1"/>
  <c r="M8" i="7"/>
  <c r="J8" i="8" s="1"/>
  <c r="M45" i="7"/>
  <c r="J45" i="8" s="1"/>
  <c r="L45" i="7"/>
  <c r="G45" i="8" s="1"/>
  <c r="K45" i="7"/>
  <c r="D45" i="8" s="1"/>
  <c r="S8" i="14" s="1" a="1"/>
  <c r="S8" i="14" s="1"/>
  <c r="D49" i="5"/>
  <c r="D45" i="5"/>
  <c r="F45" i="5" s="1"/>
  <c r="F45" i="8" s="1"/>
  <c r="D41" i="5"/>
  <c r="D37" i="5"/>
  <c r="D33" i="5"/>
  <c r="F33" i="5" s="1"/>
  <c r="F33" i="8" s="1"/>
  <c r="D29" i="5"/>
  <c r="F29" i="5" s="1"/>
  <c r="F29" i="8" s="1"/>
  <c r="D25" i="5"/>
  <c r="F25" i="5" s="1"/>
  <c r="F25" i="8" s="1"/>
  <c r="D21" i="5"/>
  <c r="F21" i="5" s="1"/>
  <c r="F21" i="8" s="1"/>
  <c r="D17" i="5"/>
  <c r="F17" i="5" s="1"/>
  <c r="F17" i="8" s="1"/>
  <c r="D13" i="5"/>
  <c r="F13" i="5" s="1"/>
  <c r="F13" i="8" s="1"/>
  <c r="D9" i="5"/>
  <c r="F9" i="5" s="1"/>
  <c r="F9" i="8" s="1"/>
  <c r="D5" i="5"/>
  <c r="F5" i="5" s="1"/>
  <c r="F5" i="8" s="1"/>
  <c r="D26" i="5"/>
  <c r="F26" i="5" s="1"/>
  <c r="F26" i="8" s="1"/>
  <c r="D42" i="5"/>
  <c r="F42" i="5" s="1"/>
  <c r="F42" i="8" s="1"/>
  <c r="F21" i="15" s="1"/>
  <c r="D38" i="5"/>
  <c r="F38" i="5" s="1"/>
  <c r="F38" i="8" s="1"/>
  <c r="D34" i="5"/>
  <c r="D30" i="5"/>
  <c r="F30" i="5" s="1"/>
  <c r="F30" i="8" s="1"/>
  <c r="D6" i="5"/>
  <c r="F6" i="5" s="1"/>
  <c r="F6" i="8" s="1"/>
  <c r="D22" i="5"/>
  <c r="F22" i="5" s="1"/>
  <c r="F22" i="8" s="1"/>
  <c r="D18" i="5"/>
  <c r="D14" i="5"/>
  <c r="D10" i="5"/>
  <c r="F10" i="5" s="1"/>
  <c r="F10" i="8" s="1"/>
  <c r="D48" i="5"/>
  <c r="D44" i="5"/>
  <c r="D40" i="5"/>
  <c r="F40" i="5" s="1"/>
  <c r="F40" i="8" s="1"/>
  <c r="D36" i="5"/>
  <c r="D32" i="5"/>
  <c r="F32" i="5" s="1"/>
  <c r="F32" i="8" s="1"/>
  <c r="D28" i="5"/>
  <c r="D24" i="5"/>
  <c r="D20" i="5"/>
  <c r="D16" i="5"/>
  <c r="F16" i="5" s="1"/>
  <c r="F16" i="8" s="1"/>
  <c r="D12" i="5"/>
  <c r="D8" i="5"/>
  <c r="F8" i="5" s="1"/>
  <c r="F8" i="8" s="1"/>
  <c r="D4" i="5"/>
  <c r="F4" i="5" s="1"/>
  <c r="F4" i="8" s="1"/>
  <c r="D46" i="5"/>
  <c r="D27" i="5"/>
  <c r="F27" i="5" s="1"/>
  <c r="F27" i="8" s="1"/>
  <c r="D47" i="5"/>
  <c r="F47" i="5" s="1"/>
  <c r="F47" i="8" s="1"/>
  <c r="D15" i="5"/>
  <c r="F15" i="5" s="1"/>
  <c r="F15" i="8" s="1"/>
  <c r="D19" i="5"/>
  <c r="F19" i="5" s="1"/>
  <c r="F19" i="8" s="1"/>
  <c r="D23" i="5"/>
  <c r="F23" i="5" s="1"/>
  <c r="F23" i="8" s="1"/>
  <c r="D43" i="5"/>
  <c r="D11" i="5"/>
  <c r="D31" i="5"/>
  <c r="D39" i="5"/>
  <c r="D7" i="5"/>
  <c r="D35" i="5"/>
  <c r="F35" i="5" s="1"/>
  <c r="F35" i="8" s="1"/>
  <c r="D3" i="5"/>
  <c r="F3" i="5" s="1"/>
  <c r="F3" i="8" s="1"/>
  <c r="M10" i="7"/>
  <c r="J10" i="8" s="1"/>
  <c r="L10" i="7"/>
  <c r="G10" i="8" s="1"/>
  <c r="K10" i="7"/>
  <c r="D10" i="8" s="1"/>
  <c r="M30" i="6"/>
  <c r="H30" i="8" s="1"/>
  <c r="L30" i="6"/>
  <c r="E30" i="8" s="1"/>
  <c r="K30" i="6"/>
  <c r="B30" i="8" s="1"/>
  <c r="K49" i="6"/>
  <c r="B49" i="8" s="1"/>
  <c r="M49" i="6"/>
  <c r="H49" i="8" s="1"/>
  <c r="L49" i="6"/>
  <c r="E49" i="8" s="1"/>
  <c r="L30" i="13"/>
  <c r="K30" i="13"/>
  <c r="J30" i="13"/>
  <c r="I30" i="13"/>
  <c r="H30" i="13"/>
  <c r="E51" i="13" a="1"/>
  <c r="E51" i="13" s="1"/>
  <c r="E16" i="5"/>
  <c r="C16" i="8" s="1"/>
  <c r="G16" i="5"/>
  <c r="I16" i="8" s="1"/>
  <c r="K4" i="7"/>
  <c r="D4" i="8" s="1"/>
  <c r="M4" i="7"/>
  <c r="J4" i="8" s="1"/>
  <c r="L4" i="7"/>
  <c r="G4" i="8" s="1"/>
  <c r="K42" i="7"/>
  <c r="D42" i="8" s="1"/>
  <c r="D21" i="15" s="1"/>
  <c r="M42" i="7"/>
  <c r="J42" i="8" s="1"/>
  <c r="L42" i="7"/>
  <c r="G42" i="8" s="1"/>
  <c r="G21" i="15" s="1"/>
  <c r="G14" i="5"/>
  <c r="I14" i="8" s="1"/>
  <c r="F14" i="5"/>
  <c r="F14" i="8" s="1"/>
  <c r="E14" i="5"/>
  <c r="C14" i="8" s="1"/>
  <c r="K45" i="6"/>
  <c r="B45" i="8" s="1"/>
  <c r="R8" i="14" s="1" a="1"/>
  <c r="R8" i="14" s="1"/>
  <c r="M45" i="6"/>
  <c r="H45" i="8" s="1"/>
  <c r="L45" i="6"/>
  <c r="E45" i="8" s="1"/>
  <c r="G46" i="5"/>
  <c r="I46" i="8" s="1"/>
  <c r="F46" i="5"/>
  <c r="F46" i="8" s="1"/>
  <c r="E46" i="5"/>
  <c r="C46" i="8" s="1"/>
  <c r="G20" i="5"/>
  <c r="I20" i="8" s="1"/>
  <c r="E20" i="5"/>
  <c r="C20" i="8" s="1"/>
  <c r="F20" i="5"/>
  <c r="F20" i="8" s="1"/>
  <c r="I32" i="13"/>
  <c r="L32" i="13"/>
  <c r="K32" i="13"/>
  <c r="J32" i="13"/>
  <c r="H32" i="13"/>
  <c r="G7" i="5"/>
  <c r="I7" i="8" s="1"/>
  <c r="F7" i="5"/>
  <c r="F7" i="8" s="1"/>
  <c r="E7" i="5"/>
  <c r="C7" i="8" s="1"/>
  <c r="M23" i="7"/>
  <c r="J23" i="8" s="1"/>
  <c r="K23" i="7"/>
  <c r="D23" i="8" s="1"/>
  <c r="S12" i="14" s="1" a="1"/>
  <c r="S12" i="14" s="1"/>
  <c r="L23" i="7"/>
  <c r="G23" i="8" s="1"/>
  <c r="M6" i="6"/>
  <c r="H6" i="8" s="1"/>
  <c r="K6" i="6"/>
  <c r="B6" i="8" s="1"/>
  <c r="L6" i="6"/>
  <c r="E6" i="8" s="1"/>
  <c r="M29" i="7"/>
  <c r="J29" i="8" s="1"/>
  <c r="K29" i="7"/>
  <c r="D29" i="8" s="1"/>
  <c r="S9" i="14" s="1" a="1"/>
  <c r="S9" i="14" s="1"/>
  <c r="L29" i="7"/>
  <c r="G29" i="8" s="1"/>
  <c r="M18" i="6"/>
  <c r="H18" i="8" s="1"/>
  <c r="L18" i="6"/>
  <c r="E18" i="8" s="1"/>
  <c r="K18" i="6"/>
  <c r="B18" i="8" s="1"/>
  <c r="R11" i="14" s="1" a="1"/>
  <c r="R11" i="14" s="1"/>
  <c r="K47" i="13"/>
  <c r="I47" i="13"/>
  <c r="L47" i="13"/>
  <c r="J47" i="13"/>
  <c r="H47" i="13"/>
  <c r="I9" i="14" a="1"/>
  <c r="I9" i="14" s="1"/>
  <c r="C33" i="8"/>
  <c r="G34" i="5"/>
  <c r="I34" i="8" s="1"/>
  <c r="F34" i="5"/>
  <c r="F34" i="8" s="1"/>
  <c r="E34" i="5"/>
  <c r="C34" i="8" s="1"/>
  <c r="F51" i="13" a="1"/>
  <c r="F51" i="13" s="1"/>
  <c r="M12" i="7"/>
  <c r="J12" i="8" s="1"/>
  <c r="L12" i="7"/>
  <c r="G12" i="8" s="1"/>
  <c r="K12" i="7"/>
  <c r="D12" i="8" s="1"/>
  <c r="M14" i="6"/>
  <c r="H14" i="8" s="1"/>
  <c r="L14" i="6"/>
  <c r="E14" i="8" s="1"/>
  <c r="K14" i="6"/>
  <c r="B14" i="8" s="1"/>
  <c r="F43" i="5"/>
  <c r="F43" i="8" s="1"/>
  <c r="G43" i="5"/>
  <c r="I43" i="8" s="1"/>
  <c r="E43" i="5"/>
  <c r="M46" i="6"/>
  <c r="H46" i="8" s="1"/>
  <c r="L46" i="6"/>
  <c r="E46" i="8" s="1"/>
  <c r="K46" i="6"/>
  <c r="B46" i="8" s="1"/>
  <c r="M20" i="6"/>
  <c r="H20" i="8" s="1"/>
  <c r="K20" i="6"/>
  <c r="B20" i="8" s="1"/>
  <c r="L20" i="6"/>
  <c r="E20" i="8" s="1"/>
  <c r="G38" i="5"/>
  <c r="I38" i="8" s="1"/>
  <c r="E38" i="5"/>
  <c r="M27" i="7"/>
  <c r="J27" i="8" s="1"/>
  <c r="L27" i="7"/>
  <c r="G27" i="8" s="1"/>
  <c r="K27" i="7"/>
  <c r="D27" i="8" s="1"/>
  <c r="I41" i="13"/>
  <c r="J41" i="13"/>
  <c r="H41" i="13"/>
  <c r="L41" i="13"/>
  <c r="K41" i="13"/>
  <c r="K6" i="7"/>
  <c r="D6" i="8" s="1"/>
  <c r="L6" i="7"/>
  <c r="G6" i="8" s="1"/>
  <c r="M6" i="7"/>
  <c r="J6" i="8" s="1"/>
  <c r="L34" i="13"/>
  <c r="K34" i="13"/>
  <c r="J34" i="13"/>
  <c r="I34" i="13"/>
  <c r="H34" i="13"/>
  <c r="G28" i="5"/>
  <c r="I28" i="8" s="1"/>
  <c r="F28" i="5"/>
  <c r="F28" i="8" s="1"/>
  <c r="E28" i="5"/>
  <c r="L15" i="6"/>
  <c r="E15" i="8" s="1"/>
  <c r="K15" i="6"/>
  <c r="B15" i="8" s="1"/>
  <c r="M15" i="6"/>
  <c r="H15" i="8" s="1"/>
  <c r="K47" i="6"/>
  <c r="B47" i="8" s="1"/>
  <c r="L47" i="6"/>
  <c r="E47" i="8" s="1"/>
  <c r="M47" i="6"/>
  <c r="H47" i="8" s="1"/>
  <c r="M29" i="6"/>
  <c r="H29" i="8" s="1"/>
  <c r="L29" i="6"/>
  <c r="E29" i="8" s="1"/>
  <c r="K29" i="6"/>
  <c r="B29" i="8" s="1"/>
  <c r="R9" i="14" s="1" a="1"/>
  <c r="R9" i="14" s="1"/>
  <c r="M18" i="7"/>
  <c r="J18" i="8" s="1"/>
  <c r="L18" i="7"/>
  <c r="G18" i="8" s="1"/>
  <c r="K18" i="7"/>
  <c r="D18" i="8" s="1"/>
  <c r="S11" i="14" s="1" a="1"/>
  <c r="S11" i="14" s="1"/>
  <c r="B41" i="6"/>
  <c r="J41" i="6" s="1"/>
  <c r="B41" i="7"/>
  <c r="J41" i="7" s="1"/>
  <c r="B41" i="5"/>
  <c r="M39" i="7"/>
  <c r="J39" i="8" s="1"/>
  <c r="K39" i="7"/>
  <c r="D39" i="8" s="1"/>
  <c r="L39" i="7"/>
  <c r="G39" i="8" s="1"/>
  <c r="K40" i="7"/>
  <c r="D40" i="8" s="1"/>
  <c r="M40" i="7"/>
  <c r="J40" i="8" s="1"/>
  <c r="L40" i="7"/>
  <c r="G40" i="8" s="1"/>
  <c r="H12" i="13"/>
  <c r="L12" i="13"/>
  <c r="K12" i="13"/>
  <c r="J12" i="13"/>
  <c r="I12" i="13"/>
  <c r="M24" i="6"/>
  <c r="H24" i="8" s="1"/>
  <c r="L24" i="6"/>
  <c r="E24" i="8" s="1"/>
  <c r="K24" i="6"/>
  <c r="B24" i="8" s="1"/>
  <c r="R10" i="14" s="1" a="1"/>
  <c r="R10" i="14" s="1"/>
  <c r="M36" i="6"/>
  <c r="H36" i="8" s="1"/>
  <c r="K36" i="6"/>
  <c r="B36" i="8" s="1"/>
  <c r="R4" i="14" s="1" a="1"/>
  <c r="R4" i="14" s="1"/>
  <c r="L36" i="6"/>
  <c r="E36" i="8" s="1"/>
  <c r="K35" i="13"/>
  <c r="I35" i="13"/>
  <c r="H35" i="13"/>
  <c r="L35" i="13"/>
  <c r="J35" i="13"/>
  <c r="K9" i="7"/>
  <c r="D9" i="8" s="1"/>
  <c r="L9" i="7"/>
  <c r="G9" i="8" s="1"/>
  <c r="M9" i="7"/>
  <c r="J9" i="8" s="1"/>
  <c r="M44" i="6"/>
  <c r="H44" i="8" s="1"/>
  <c r="L44" i="6"/>
  <c r="E44" i="8" s="1"/>
  <c r="K44" i="6"/>
  <c r="B44" i="8" s="1"/>
  <c r="K34" i="7"/>
  <c r="D34" i="8" s="1"/>
  <c r="L34" i="7"/>
  <c r="G34" i="8" s="1"/>
  <c r="M34" i="7"/>
  <c r="J34" i="8" s="1"/>
  <c r="F31" i="5"/>
  <c r="F31" i="8" s="1"/>
  <c r="G31" i="5"/>
  <c r="I31" i="8" s="1"/>
  <c r="E31" i="5"/>
  <c r="C31" i="8" s="1"/>
  <c r="M35" i="7"/>
  <c r="J35" i="8" s="1"/>
  <c r="L35" i="7"/>
  <c r="G35" i="8" s="1"/>
  <c r="K35" i="7"/>
  <c r="D35" i="8" s="1"/>
  <c r="K39" i="6"/>
  <c r="B39" i="8" s="1"/>
  <c r="M39" i="6"/>
  <c r="H39" i="8" s="1"/>
  <c r="L39" i="6"/>
  <c r="E39" i="8" s="1"/>
  <c r="L3" i="7"/>
  <c r="G3" i="8" s="1"/>
  <c r="M13" i="6"/>
  <c r="H13" i="8" s="1"/>
  <c r="L13" i="6"/>
  <c r="E13" i="8" s="1"/>
  <c r="K13" i="6"/>
  <c r="B13" i="8" s="1"/>
  <c r="K5" i="7"/>
  <c r="D5" i="8" s="1"/>
  <c r="M5" i="7"/>
  <c r="J5" i="8" s="1"/>
  <c r="L5" i="7"/>
  <c r="G5" i="8" s="1"/>
  <c r="G51" i="13" a="1"/>
  <c r="G51" i="13" s="1"/>
  <c r="M47" i="7"/>
  <c r="J47" i="8" s="1"/>
  <c r="K47" i="7"/>
  <c r="D47" i="8" s="1"/>
  <c r="L47" i="7"/>
  <c r="G47" i="8" s="1"/>
  <c r="M10" i="6"/>
  <c r="H10" i="8" s="1"/>
  <c r="K10" i="6"/>
  <c r="B10" i="8" s="1"/>
  <c r="L10" i="6"/>
  <c r="E10" i="8" s="1"/>
  <c r="M24" i="7"/>
  <c r="J24" i="8" s="1"/>
  <c r="L24" i="7"/>
  <c r="G24" i="8" s="1"/>
  <c r="K24" i="7"/>
  <c r="D24" i="8" s="1"/>
  <c r="S10" i="14" s="1" a="1"/>
  <c r="S10" i="14" s="1"/>
  <c r="G36" i="5"/>
  <c r="I36" i="8" s="1"/>
  <c r="F36" i="5"/>
  <c r="F36" i="8" s="1"/>
  <c r="E36" i="5"/>
  <c r="C36" i="8" s="1"/>
  <c r="M12" i="6"/>
  <c r="H12" i="8" s="1"/>
  <c r="L12" i="6"/>
  <c r="E12" i="8" s="1"/>
  <c r="K12" i="6"/>
  <c r="B12" i="8" s="1"/>
  <c r="E37" i="5"/>
  <c r="C37" i="8" s="1"/>
  <c r="F37" i="5"/>
  <c r="F37" i="8" s="1"/>
  <c r="G37" i="5"/>
  <c r="I37" i="8" s="1"/>
  <c r="K43" i="6"/>
  <c r="B43" i="8" s="1"/>
  <c r="M43" i="6"/>
  <c r="H43" i="8" s="1"/>
  <c r="L43" i="6"/>
  <c r="E43" i="8" s="1"/>
  <c r="M46" i="7"/>
  <c r="J46" i="8" s="1"/>
  <c r="L46" i="7"/>
  <c r="G46" i="8" s="1"/>
  <c r="K46" i="7"/>
  <c r="D46" i="8" s="1"/>
  <c r="K20" i="7"/>
  <c r="D20" i="8" s="1"/>
  <c r="L20" i="7"/>
  <c r="G20" i="8" s="1"/>
  <c r="M20" i="7"/>
  <c r="J20" i="8" s="1"/>
  <c r="I25" i="13"/>
  <c r="H25" i="13"/>
  <c r="L25" i="13"/>
  <c r="K25" i="13"/>
  <c r="J25" i="13"/>
  <c r="J23" i="13"/>
  <c r="I23" i="13"/>
  <c r="H23" i="13"/>
  <c r="L23" i="13"/>
  <c r="K23" i="13"/>
  <c r="M38" i="7"/>
  <c r="J38" i="8" s="1"/>
  <c r="K38" i="7"/>
  <c r="D38" i="8" s="1"/>
  <c r="L38" i="7"/>
  <c r="G38" i="8" s="1"/>
  <c r="E48" i="5"/>
  <c r="C48" i="8" s="1"/>
  <c r="G48" i="5"/>
  <c r="I48" i="8" s="1"/>
  <c r="F48" i="5"/>
  <c r="F48" i="8" s="1"/>
  <c r="C51" i="13" a="1"/>
  <c r="C51" i="13" s="1"/>
  <c r="K33" i="6"/>
  <c r="B33" i="8" s="1"/>
  <c r="L33" i="6"/>
  <c r="E33" i="8" s="1"/>
  <c r="M33" i="6"/>
  <c r="H33" i="8" s="1"/>
  <c r="M48" i="6"/>
  <c r="H48" i="8" s="1"/>
  <c r="L48" i="6"/>
  <c r="E48" i="8" s="1"/>
  <c r="K48" i="6"/>
  <c r="B48" i="8" s="1"/>
  <c r="K7" i="7"/>
  <c r="D7" i="8" s="1"/>
  <c r="L7" i="7"/>
  <c r="G7" i="8" s="1"/>
  <c r="M7" i="7"/>
  <c r="J7" i="8" s="1"/>
  <c r="K44" i="13"/>
  <c r="I44" i="13"/>
  <c r="L44" i="13"/>
  <c r="J44" i="13"/>
  <c r="H44" i="13"/>
  <c r="M28" i="6"/>
  <c r="H28" i="8" s="1"/>
  <c r="L28" i="6"/>
  <c r="E28" i="8" s="1"/>
  <c r="K28" i="6"/>
  <c r="B28" i="8" s="1"/>
  <c r="M7" i="6"/>
  <c r="H7" i="8" s="1"/>
  <c r="K7" i="6"/>
  <c r="B7" i="8" s="1"/>
  <c r="L7" i="6"/>
  <c r="E7" i="8" s="1"/>
  <c r="K15" i="7"/>
  <c r="D15" i="8" s="1"/>
  <c r="L15" i="7"/>
  <c r="G15" i="8" s="1"/>
  <c r="M15" i="7"/>
  <c r="J15" i="8" s="1"/>
  <c r="M23" i="6"/>
  <c r="H23" i="8" s="1"/>
  <c r="L23" i="6"/>
  <c r="E23" i="8" s="1"/>
  <c r="K23" i="6"/>
  <c r="B23" i="8" s="1"/>
  <c r="R12" i="14" s="1" a="1"/>
  <c r="R12" i="14" s="1"/>
  <c r="M16" i="7"/>
  <c r="J16" i="8" s="1"/>
  <c r="K16" i="7"/>
  <c r="D16" i="8" s="1"/>
  <c r="L16" i="7"/>
  <c r="G16" i="8" s="1"/>
  <c r="G4" i="5"/>
  <c r="I4" i="8" s="1"/>
  <c r="E4" i="5"/>
  <c r="C4" i="8" s="1"/>
  <c r="F39" i="5"/>
  <c r="F39" i="8" s="1"/>
  <c r="G39" i="5"/>
  <c r="I39" i="8" s="1"/>
  <c r="E39" i="5"/>
  <c r="M28" i="7"/>
  <c r="J28" i="8" s="1"/>
  <c r="L28" i="7"/>
  <c r="G28" i="8" s="1"/>
  <c r="K28" i="7"/>
  <c r="D28" i="8" s="1"/>
  <c r="M34" i="6"/>
  <c r="H34" i="8" s="1"/>
  <c r="L34" i="6"/>
  <c r="E34" i="8" s="1"/>
  <c r="K34" i="6"/>
  <c r="B34" i="8" s="1"/>
  <c r="M31" i="7"/>
  <c r="J31" i="8" s="1"/>
  <c r="K31" i="7"/>
  <c r="D31" i="8" s="1"/>
  <c r="L31" i="7"/>
  <c r="G31" i="8" s="1"/>
  <c r="I17" i="13"/>
  <c r="J17" i="13"/>
  <c r="H17" i="13"/>
  <c r="L17" i="13"/>
  <c r="K17" i="13"/>
  <c r="L9" i="13"/>
  <c r="K9" i="13"/>
  <c r="J9" i="13"/>
  <c r="I9" i="13"/>
  <c r="H9" i="13"/>
  <c r="M22" i="6"/>
  <c r="H22" i="8" s="1"/>
  <c r="L22" i="6"/>
  <c r="E22" i="8" s="1"/>
  <c r="K22" i="6"/>
  <c r="B22" i="8" s="1"/>
  <c r="F44" i="5"/>
  <c r="F44" i="8" s="1"/>
  <c r="E44" i="5"/>
  <c r="C44" i="8" s="1"/>
  <c r="G44" i="5"/>
  <c r="I44" i="8" s="1"/>
  <c r="G49" i="5"/>
  <c r="I49" i="8" s="1"/>
  <c r="E49" i="5"/>
  <c r="F49" i="5"/>
  <c r="F49" i="8" s="1"/>
  <c r="K31" i="6"/>
  <c r="B31" i="8" s="1"/>
  <c r="M31" i="6"/>
  <c r="H31" i="8" s="1"/>
  <c r="L31" i="6"/>
  <c r="E31" i="8" s="1"/>
  <c r="M33" i="7"/>
  <c r="J33" i="8" s="1"/>
  <c r="K33" i="7"/>
  <c r="D33" i="8" s="1"/>
  <c r="L33" i="7"/>
  <c r="G33" i="8" s="1"/>
  <c r="K13" i="7"/>
  <c r="D13" i="8" s="1"/>
  <c r="L13" i="7"/>
  <c r="G13" i="8" s="1"/>
  <c r="M13" i="7"/>
  <c r="J13" i="8" s="1"/>
  <c r="C52" i="13" a="1"/>
  <c r="C52" i="13" s="1"/>
  <c r="D52" i="13" a="1"/>
  <c r="D52" i="13" s="1"/>
  <c r="B52" i="13" a="1"/>
  <c r="B52" i="13" s="1"/>
  <c r="K26" i="7"/>
  <c r="D26" i="8" s="1"/>
  <c r="M26" i="7"/>
  <c r="J26" i="8" s="1"/>
  <c r="L26" i="7"/>
  <c r="G26" i="8" s="1"/>
  <c r="G11" i="5"/>
  <c r="I11" i="8" s="1"/>
  <c r="F11" i="5"/>
  <c r="F11" i="8" s="1"/>
  <c r="E11" i="5"/>
  <c r="C11" i="8" s="1"/>
  <c r="M32" i="6"/>
  <c r="H32" i="8" s="1"/>
  <c r="K32" i="6"/>
  <c r="B32" i="8" s="1"/>
  <c r="L32" i="6"/>
  <c r="E32" i="8" s="1"/>
  <c r="E24" i="5"/>
  <c r="C24" i="8" s="1"/>
  <c r="G24" i="5"/>
  <c r="I24" i="8" s="1"/>
  <c r="F24" i="5"/>
  <c r="F24" i="8" s="1"/>
  <c r="M36" i="7"/>
  <c r="J36" i="8" s="1"/>
  <c r="K36" i="7"/>
  <c r="D36" i="8" s="1"/>
  <c r="S4" i="14" s="1" a="1"/>
  <c r="S4" i="14" s="1"/>
  <c r="L36" i="7"/>
  <c r="G36" i="8" s="1"/>
  <c r="F12" i="5"/>
  <c r="F12" i="8" s="1"/>
  <c r="E12" i="5"/>
  <c r="C12" i="8" s="1"/>
  <c r="G12" i="5"/>
  <c r="I12" i="8" s="1"/>
  <c r="K27" i="6"/>
  <c r="B27" i="8" s="1"/>
  <c r="M27" i="6"/>
  <c r="H27" i="8" s="1"/>
  <c r="L27" i="6"/>
  <c r="E27" i="8" s="1"/>
  <c r="M40" i="6"/>
  <c r="H40" i="8" s="1"/>
  <c r="K40" i="6"/>
  <c r="B40" i="8" s="1"/>
  <c r="L40" i="6"/>
  <c r="E40" i="8" s="1"/>
  <c r="M37" i="7"/>
  <c r="J37" i="8" s="1"/>
  <c r="L37" i="7"/>
  <c r="G37" i="8" s="1"/>
  <c r="K37" i="7"/>
  <c r="D37" i="8" s="1"/>
  <c r="M43" i="7"/>
  <c r="J43" i="8" s="1"/>
  <c r="K43" i="7"/>
  <c r="D43" i="8" s="1"/>
  <c r="L43" i="7"/>
  <c r="G43" i="8" s="1"/>
  <c r="M38" i="6"/>
  <c r="H38" i="8" s="1"/>
  <c r="L38" i="6"/>
  <c r="E38" i="8" s="1"/>
  <c r="K38" i="6"/>
  <c r="B38" i="8" s="1"/>
  <c r="Q6" i="14" l="1" a="1"/>
  <c r="Q6" i="14" s="1"/>
  <c r="Q5" i="14" a="1"/>
  <c r="Q5" i="14" s="1"/>
  <c r="I8" i="14" a="1"/>
  <c r="I8" i="14" s="1"/>
  <c r="C49" i="8"/>
  <c r="Q12" i="14" a="1"/>
  <c r="Q12" i="14" s="1"/>
  <c r="U12" i="14" s="1"/>
  <c r="Q11" i="14" a="1"/>
  <c r="Q11" i="14" s="1"/>
  <c r="U11" i="14" s="1"/>
  <c r="Q10" i="14" a="1"/>
  <c r="Q10" i="14" s="1"/>
  <c r="U10" i="14" s="1"/>
  <c r="I12" i="14" a="1"/>
  <c r="I12" i="14" s="1"/>
  <c r="I11" i="14" a="1"/>
  <c r="I11" i="14" s="1"/>
  <c r="I10" i="14" a="1"/>
  <c r="I10" i="14" s="1"/>
  <c r="C28" i="8"/>
  <c r="L5" i="13"/>
  <c r="K5" i="13"/>
  <c r="J5" i="13"/>
  <c r="I5" i="13"/>
  <c r="H5" i="13"/>
  <c r="I3" i="14" a="1"/>
  <c r="I3" i="14" s="1"/>
  <c r="C39" i="8"/>
  <c r="M41" i="7"/>
  <c r="J41" i="8" s="1"/>
  <c r="L41" i="7"/>
  <c r="G41" i="8" s="1"/>
  <c r="K41" i="7"/>
  <c r="D41" i="8" s="1"/>
  <c r="Q4" i="14" s="1" a="1"/>
  <c r="Q4" i="14" s="1"/>
  <c r="U4" i="14" s="1"/>
  <c r="R13" i="14" a="1"/>
  <c r="R13" i="14" s="1"/>
  <c r="P8" i="14" a="1"/>
  <c r="P8" i="14" s="1"/>
  <c r="T8" i="14" s="1"/>
  <c r="Q7" i="14" a="1"/>
  <c r="Q7" i="14" s="1"/>
  <c r="S5" i="14" a="1"/>
  <c r="S5" i="14" s="1"/>
  <c r="J3" i="13"/>
  <c r="I3" i="13"/>
  <c r="H3" i="13"/>
  <c r="L3" i="13"/>
  <c r="L51" i="13" s="1" a="1"/>
  <c r="L51" i="13" s="1"/>
  <c r="K3" i="13"/>
  <c r="K51" i="13" s="1" a="1"/>
  <c r="K51" i="13" s="1"/>
  <c r="D53" i="13" a="1"/>
  <c r="D53" i="13" s="1"/>
  <c r="E53" i="13" a="1"/>
  <c r="E53" i="13" s="1"/>
  <c r="B51" i="13" a="1"/>
  <c r="B51" i="13" s="1"/>
  <c r="B53" i="13" a="1"/>
  <c r="B53" i="13" s="1"/>
  <c r="C53" i="13" a="1"/>
  <c r="C53" i="13" s="1"/>
  <c r="E41" i="5"/>
  <c r="F41" i="5"/>
  <c r="F41" i="8" s="1"/>
  <c r="G41" i="5"/>
  <c r="I41" i="8" s="1"/>
  <c r="P3" i="14" a="1"/>
  <c r="P3" i="14" s="1"/>
  <c r="T3" i="14" s="1"/>
  <c r="R6" i="14" a="1"/>
  <c r="R6" i="14" s="1"/>
  <c r="K41" i="6"/>
  <c r="B41" i="8" s="1"/>
  <c r="P4" i="14" s="1" a="1"/>
  <c r="P4" i="14" s="1"/>
  <c r="T4" i="14" s="1"/>
  <c r="L41" i="6"/>
  <c r="E41" i="8" s="1"/>
  <c r="M41" i="6"/>
  <c r="H41" i="8" s="1"/>
  <c r="I7" i="14" a="1"/>
  <c r="I7" i="14" s="1"/>
  <c r="C38" i="8"/>
  <c r="I13" i="14" a="1"/>
  <c r="I13" i="14" s="1"/>
  <c r="R7" i="14" a="1"/>
  <c r="R7" i="14" s="1"/>
  <c r="R3" i="14" a="1"/>
  <c r="R3" i="14" s="1"/>
  <c r="P12" i="14" a="1"/>
  <c r="P12" i="14" s="1"/>
  <c r="T12" i="14" s="1"/>
  <c r="P11" i="14" a="1"/>
  <c r="P11" i="14" s="1"/>
  <c r="T11" i="14" s="1"/>
  <c r="P10" i="14" a="1"/>
  <c r="P10" i="14" s="1"/>
  <c r="T10" i="14" s="1"/>
  <c r="P13" i="14" a="1"/>
  <c r="P13" i="14" s="1"/>
  <c r="T13" i="14" s="1"/>
  <c r="P9" i="14" a="1"/>
  <c r="P9" i="14" s="1"/>
  <c r="T9" i="14" s="1"/>
  <c r="S7" i="14" a="1"/>
  <c r="S7" i="14" s="1"/>
  <c r="S3" i="14" a="1"/>
  <c r="S3" i="14" s="1"/>
  <c r="I6" i="14" a="1"/>
  <c r="I6" i="14" s="1"/>
  <c r="I5" i="14" a="1"/>
  <c r="I5" i="14" s="1"/>
  <c r="C43" i="8"/>
  <c r="P7" i="14" a="1"/>
  <c r="P7" i="14" s="1"/>
  <c r="R5" i="14" a="1"/>
  <c r="R5" i="14" s="1"/>
  <c r="Q13" i="14" a="1"/>
  <c r="Q13" i="14" s="1"/>
  <c r="U13" i="14" s="1"/>
  <c r="Q9" i="14" a="1"/>
  <c r="Q9" i="14" s="1"/>
  <c r="U9" i="14" s="1"/>
  <c r="P6" i="14" a="1"/>
  <c r="P6" i="14" s="1"/>
  <c r="P5" i="14" a="1"/>
  <c r="P5" i="14" s="1"/>
  <c r="T5" i="14" s="1"/>
  <c r="Q3" i="14" a="1"/>
  <c r="Q3" i="14" s="1"/>
  <c r="S6" i="14" a="1"/>
  <c r="S6" i="14" s="1"/>
  <c r="S13" i="14" a="1"/>
  <c r="S13" i="14" s="1"/>
  <c r="Q8" i="14" a="1"/>
  <c r="Q8" i="14" s="1"/>
  <c r="U8" i="14" s="1"/>
  <c r="U7" i="14" l="1"/>
  <c r="H51" i="13" a="1"/>
  <c r="H51" i="13" s="1"/>
  <c r="T7" i="14"/>
  <c r="I51" i="13" a="1"/>
  <c r="I51" i="13" s="1"/>
  <c r="J51" i="13" a="1"/>
  <c r="J51" i="13" s="1"/>
  <c r="U5" i="14"/>
  <c r="T6" i="14"/>
  <c r="I4" i="14" a="1"/>
  <c r="I4" i="14" s="1"/>
  <c r="C41" i="8"/>
  <c r="U3" i="14"/>
  <c r="G54" i="13"/>
  <c r="E54" i="13"/>
  <c r="H54" i="13"/>
  <c r="F54" i="13"/>
  <c r="U6" i="14"/>
</calcChain>
</file>

<file path=xl/sharedStrings.xml><?xml version="1.0" encoding="utf-8"?>
<sst xmlns="http://schemas.openxmlformats.org/spreadsheetml/2006/main" count="966" uniqueCount="351">
  <si>
    <t>Assumptions — paper-authoritative constants (v1.0.0). Typed values are inputs; every other number is a formula. Sources in column D.</t>
  </si>
  <si>
    <t>Anchor Wh per 100-input / 300-output-token query (GPT-4o-mini)</t>
  </si>
  <si>
    <t>Per-1,000-token conversion factor</t>
  </si>
  <si>
    <t>Equals 1000/300 total tokens (Appendix D.5.1 -- 100 input tokens, 300 output tokens, not 400 tokens)</t>
  </si>
  <si>
    <t>Anchor TPS (gpt-4o-mini, campaign P50)</t>
  </si>
  <si>
    <t>Frozen corpus 24 Jun-22 Aug 2026 (SHA-256 01c57eb5...84cc6), n=105</t>
  </si>
  <si>
    <t>PUE multiplier (central, absolute)</t>
  </si>
  <si>
    <t>PUE_Calculation_Aug2026.xlsx / Table D1</t>
  </si>
  <si>
    <t>PQPC for GPT-5.x</t>
  </si>
  <si>
    <t>Section 4.10 (GB200/GB300-dominant fleet)</t>
  </si>
  <si>
    <t>PQPC for GPT-4o-mini</t>
  </si>
  <si>
    <t>Appendix D.5.4 (A100-era anchor deployment)</t>
  </si>
  <si>
    <t>Location-based intensity gCO2e/Wh</t>
  </si>
  <si>
    <t>Table 3 / Section 4.7</t>
  </si>
  <si>
    <t>Market-based intensity gCO2e/Wh (Stargate credited at Oracle FY25 corporate 46 gCO2e/kWh; Google credited at CY2025 realised market-based Scope 2 — Section 4.8)</t>
  </si>
  <si>
    <t>Table 5 / Section 4.8 — computed in GridIntensity!F20</t>
  </si>
  <si>
    <t>A_low</t>
  </si>
  <si>
    <t>Appendix D.6: Epoch 0.30 Wh @500 out = 0.60 Wh/1,000 output tokens; Jegham GPT-4o 0.423 Wh @300 out = 1.41; A_low = 0.60/1.41.</t>
  </si>
  <si>
    <t>A_high</t>
  </si>
  <si>
    <t>Appendix D.6: upward allowance for Jegham boundary omissions (provisioned-idle and overhead), ~18% of full-stack energy in Google's decomposition [2].</t>
  </si>
  <si>
    <t>PQPC_low (relative)</t>
  </si>
  <si>
    <t>Section 4.10</t>
  </si>
  <si>
    <t>PQPC_high (relative)</t>
  </si>
  <si>
    <t>P_low</t>
  </si>
  <si>
    <t>Table D1 relative</t>
  </si>
  <si>
    <t>P_high</t>
  </si>
  <si>
    <t>Fixed_low GPT-5.x</t>
  </si>
  <si>
    <t>Formula: A_low x PQPC_low x P_low</t>
  </si>
  <si>
    <t>Fixed_high GPT-5.x</t>
  </si>
  <si>
    <t>Formula: A_high x PQPC_high x P_high</t>
  </si>
  <si>
    <t>Fixed_low GPT-4o-mini</t>
  </si>
  <si>
    <t>Formula: A_low x 1 x P_low</t>
  </si>
  <si>
    <t>Fixed_high GPT-4o-mini</t>
  </si>
  <si>
    <t>Formula: A_high x 1 x P_high</t>
  </si>
  <si>
    <t>Market-based intensity gCO2e/Wh, procurement-lag scenario (Stargate uncredited — Section 4.8 / Table 10: 159 gCO2e/kWh)</t>
  </si>
  <si>
    <t>Table 10 procurement-lag row — computed in GridIntensity!G30</t>
  </si>
  <si>
    <t>Corpus provenance: InferenceCarbon_corpus_frozen_20260822.zip, SHA-256 01c57eb5bf41476fee8e06a8b677a72c172c849741cc65a9b554cf7397d84cc6. Copyright (c) 2026 InferenceCarbon Ltd.</t>
  </si>
  <si>
    <t>GridIntensity — Tables 3, 4, 5 and 10 (Sections 4.5 – 4.8, 5.4). Typed values are inputs; every other number is a formula. Google is credited at its GHG Protocol 2015 market-based Scope 2 realised intensity (Google 2026 Environmental Report, CY2025).</t>
  </si>
  <si>
    <t>Google inputs (2026 Environmental Report, Environmental metrics data tables, pp. 89, 92)</t>
  </si>
  <si>
    <t>Scope 2 market-based, CY2025 (tCO2e)</t>
  </si>
  <si>
    <t>Scope 2 location-based, CY2025 (tCO2e)</t>
  </si>
  <si>
    <t>Total electricity consumption, CY2025 (MWh)</t>
  </si>
  <si>
    <t>Scope 2 market-based, CY2024 (tCO2e)</t>
  </si>
  <si>
    <t>Total electricity consumption, CY2024 (MWh)</t>
  </si>
  <si>
    <t>Hourly CFE, data centres, CY2025 (%)</t>
  </si>
  <si>
    <t>Google realised market-based intensity, CY2025 (gCO2e/kWh)</t>
  </si>
  <si>
    <t>Google realised location-based intensity, CY2025 (gCO2e/kWh)</t>
  </si>
  <si>
    <t>Cross-check on Appendix D.3 assessed GCP intensity of 335 (row 17)</t>
  </si>
  <si>
    <t>Google realised market-based intensity, CY2024 (gCO2e/kWh)</t>
  </si>
  <si>
    <t>Prior-year comparator only</t>
  </si>
  <si>
    <t>Tables 3 – 5: provider routing shares and intensities</t>
  </si>
  <si>
    <t>Provider</t>
  </si>
  <si>
    <t>Routing share (Section 4.5)</t>
  </si>
  <si>
    <t>Location-based gCO2e/kWh (Section 4.6)</t>
  </si>
  <si>
    <t>LB contribution (Table 3)</t>
  </si>
  <si>
    <t>Market-based gCO2e/kWh (Table 4)</t>
  </si>
  <si>
    <t>MB contribution (Table 5)</t>
  </si>
  <si>
    <t>Market-based basis</t>
  </si>
  <si>
    <t>Microsoft Azure</t>
  </si>
  <si>
    <t>Oracle / Stargate</t>
  </si>
  <si>
    <t>Amazon Web Services</t>
  </si>
  <si>
    <t>100% annual match claimed, credited at face value; no AWS-level intensity computable (limitation 27)</t>
  </si>
  <si>
    <t>Google Cloud Platform</t>
  </si>
  <si>
    <t>CY2025 reported market-based Scope 2: 2,815,000 tCO2e / 43,586,600 MWh (row 10)</t>
  </si>
  <si>
    <t>Weighted total</t>
  </si>
  <si>
    <t>D20 = Table 3 location-based total; F20 = Table 5 market-based total</t>
  </si>
  <si>
    <t>Market-based reduction vs location-based (%)</t>
  </si>
  <si>
    <t>Google share of market-based total (%)</t>
  </si>
  <si>
    <t>Oracle/Stargate share of market-based total (%)</t>
  </si>
  <si>
    <t>Google market-based conversion multiplier (Table 4)</t>
  </si>
  <si>
    <t>Table 10: routing-share sensitivity (Section 5.4)</t>
  </si>
  <si>
    <t>Routing scenario</t>
  </si>
  <si>
    <t>Azure</t>
  </si>
  <si>
    <t>AWS</t>
  </si>
  <si>
    <t>GCP</t>
  </si>
  <si>
    <t>Location-based gCO2e/kWh</t>
  </si>
  <si>
    <t>Market-based gCO2e/kWh</t>
  </si>
  <si>
    <t>Azure-dominant illustration (70 / 10 / 5 / 15)</t>
  </si>
  <si>
    <t>Contract-weighted central (23.4 / 39.3 / 11.7 / 25.5)</t>
  </si>
  <si>
    <t>Procurement-lag scenario: Stargate uncredited (23.4 / 39.3 / 11.7 / 25.5)</t>
  </si>
  <si>
    <t>Stargate-ramped illustration (15 / 70 / 5 / 10)</t>
  </si>
  <si>
    <t>GCP excluded scenario (31.5 / 52.8 / 15.7 / 0)</t>
  </si>
  <si>
    <t>Single-provider floor: all-AWS (0 / 0 / 100 / 0)</t>
  </si>
  <si>
    <t>Single-provider, all-Azure (100 / 0 / 0 / 0): market-based comparator</t>
  </si>
  <si>
    <t>Single-provider ceiling: all-Stargate, gas-only scenario (0 / 100 / 0 / 0)</t>
  </si>
  <si>
    <t>Oracle/Stargate gas-only scenario intensity, location- and market-based (gCO2e/kWh)</t>
  </si>
  <si>
    <t>Appendix D.3 / Appendix A.4: all-gas simple-cycle combustion, combustion-only basis; an off-grid gas microgrid carries no clean-energy credit, so the same figure applies on both bases</t>
  </si>
  <si>
    <t>Procurement-lag row credits Oracle/Stargate at its location-based intensity (319) rather than its reported FY25 market-based Scope 2 (46).</t>
  </si>
  <si>
    <t>GCP excluded row renormalises the Azure / Oracle-Stargate / AWS shares of rows 16 – 18 to sum to 100% (Appendix E.6). Single-provider rows bound Table 10: the floor and ceiling a reader reaches by routing all inference to one provider.</t>
  </si>
  <si>
    <t>Measured inputs from the frozen corpus (24 Jun - 22 Aug 2026). All values are measured data (medians / daily-median stats), not editable assumptions.</t>
  </si>
  <si>
    <t>Row label</t>
  </si>
  <si>
    <t>Corpus label</t>
  </si>
  <si>
    <t>TPS median (P50)</t>
  </si>
  <si>
    <t>n TPS</t>
  </si>
  <si>
    <t>TPS daily-median mean</t>
  </si>
  <si>
    <t>TPS daily-median SD</t>
  </si>
  <si>
    <t>days</t>
  </si>
  <si>
    <t>R central (1k hard)</t>
  </si>
  <si>
    <t>n</t>
  </si>
  <si>
    <t>R short (100/300 hard)</t>
  </si>
  <si>
    <t>R long (10k hard)</t>
  </si>
  <si>
    <t>R floor (easy 10k)</t>
  </si>
  <si>
    <t>R heavy (k=36)</t>
  </si>
  <si>
    <t>Mode</t>
  </si>
  <si>
    <t>PQPC class</t>
  </si>
  <si>
    <t>gpt-4o-mini</t>
  </si>
  <si>
    <t>None</t>
  </si>
  <si>
    <t>4o</t>
  </si>
  <si>
    <t>gpt-5 (non-reasoning)</t>
  </si>
  <si>
    <t>gpt-5 (minimal)</t>
  </si>
  <si>
    <t>5x</t>
  </si>
  <si>
    <t>gpt-5 (low)</t>
  </si>
  <si>
    <t>Low</t>
  </si>
  <si>
    <t>gpt-5 (medium)</t>
  </si>
  <si>
    <t>Medium</t>
  </si>
  <si>
    <t>gpt-5 (high)</t>
  </si>
  <si>
    <t>High</t>
  </si>
  <si>
    <t>gpt-5 (xhigh)</t>
  </si>
  <si>
    <t>xHigh</t>
  </si>
  <si>
    <t>gpt-5.2 (non-reasoning)</t>
  </si>
  <si>
    <t>gpt-5.2 (minimal)</t>
  </si>
  <si>
    <t>gpt-5.2 (low)</t>
  </si>
  <si>
    <t>gpt-5.2 (medium)</t>
  </si>
  <si>
    <t>gpt-5.2 (high)</t>
  </si>
  <si>
    <t>gpt-5.2 (xhigh)</t>
  </si>
  <si>
    <t>gpt-5.4-nano (non-reasoning)</t>
  </si>
  <si>
    <t>gpt-5.4-nano (minimal)</t>
  </si>
  <si>
    <t>gpt-5.4-nano (low)</t>
  </si>
  <si>
    <t>gpt-5.4-nano (medium)</t>
  </si>
  <si>
    <t>gpt-5.4-nano (high)</t>
  </si>
  <si>
    <t>gpt-5.4-nano (xhigh)</t>
  </si>
  <si>
    <t>gpt-5.4-mini (non-reasoning)</t>
  </si>
  <si>
    <t>gpt-5.4-mini (minimal)</t>
  </si>
  <si>
    <t>gpt-5.4-mini (low)</t>
  </si>
  <si>
    <t>gpt-5.4-mini (medium)</t>
  </si>
  <si>
    <t>gpt-5.4-mini (high)</t>
  </si>
  <si>
    <t>gpt-5.4-mini (xhigh)</t>
  </si>
  <si>
    <t>gpt-5.4 (non-reasoning)</t>
  </si>
  <si>
    <t>gpt-5.4 (minimal)</t>
  </si>
  <si>
    <t>gpt-5.4 (low)</t>
  </si>
  <si>
    <t>gpt-5.4 (medium)</t>
  </si>
  <si>
    <t>gpt-5.4 (high)</t>
  </si>
  <si>
    <t>gpt-5.4 (xhigh)</t>
  </si>
  <si>
    <t>gpt-5.5 (minimal)</t>
  </si>
  <si>
    <t>Minimal (measured)</t>
  </si>
  <si>
    <t>gpt-5.5 (low)</t>
  </si>
  <si>
    <t>gpt-5.5 (medium)</t>
  </si>
  <si>
    <t>gpt-5.5 (high)</t>
  </si>
  <si>
    <t>gpt-5.5 (xhigh)</t>
  </si>
  <si>
    <t>gpt-5.6-luna (minimal)</t>
  </si>
  <si>
    <t>gpt-5.6-luna (low)</t>
  </si>
  <si>
    <t>gpt-5.6-luna (medium)</t>
  </si>
  <si>
    <t>gpt-5.6-luna (high)</t>
  </si>
  <si>
    <t>gpt-5.6-luna (xhigh)</t>
  </si>
  <si>
    <t>gpt-5.6-sol (minimal)</t>
  </si>
  <si>
    <t>gpt-5.6-sol (low)</t>
  </si>
  <si>
    <t>gpt-5.6-sol (medium)</t>
  </si>
  <si>
    <t>gpt-5.6-sol (high)</t>
  </si>
  <si>
    <t>gpt-5.6-sol (xhigh)</t>
  </si>
  <si>
    <t>gpt-5.6-sol (max)*</t>
  </si>
  <si>
    <t>Max (floor)</t>
  </si>
  <si>
    <t>gpt-5.6-terra (minimal)</t>
  </si>
  <si>
    <t>gpt-5.6-terra (low)</t>
  </si>
  <si>
    <t>gpt-5.6-terra (medium)</t>
  </si>
  <si>
    <t>gpt-5.6-terra (high)</t>
  </si>
  <si>
    <t>gpt-5.6-terra (xhigh)</t>
  </si>
  <si>
    <t>Table 6 — Anchor scaling chain (all formulas). Anchor 0.577 Wh x 3.333 -&gt; TPS scale -&gt; PUE -&gt; PQPC -&gt; Reasoning multiplier.</t>
  </si>
  <si>
    <t>Model</t>
  </si>
  <si>
    <t>Anchor Wh/1,000 tokens</t>
  </si>
  <si>
    <t>Tokens-Per-Second</t>
  </si>
  <si>
    <t>TPS Adjustment</t>
  </si>
  <si>
    <t>TPS-Scaled Wh</t>
  </si>
  <si>
    <t>PUE Multiplier</t>
  </si>
  <si>
    <t>PUE-Adjusted Wh</t>
  </si>
  <si>
    <t>PQPC</t>
  </si>
  <si>
    <t>PQPC-Adjusted Wh</t>
  </si>
  <si>
    <t>Reasoning Mode</t>
  </si>
  <si>
    <t>Reasoning Multiplier</t>
  </si>
  <si>
    <t>Adjusted Per-Model Wh/1,000 tokens</t>
  </si>
  <si>
    <t>gpt-5.6-sol (max)*: xhigh values carried as explicit floors (limitation 18; tier not measured before the close). All 46 measured variants are carried; the gpt-5 effort ladder is non-monotonic (R 6.12 at high, 3.75 at xhigh).</t>
  </si>
  <si>
    <t>LB gCO2e/Wh</t>
  </si>
  <si>
    <t>MB gCO2e/Wh</t>
  </si>
  <si>
    <t>Location-Based gCO2e/1,000 tokens</t>
  </si>
  <si>
    <t>Market-Based gCO2e/1,000 tokens</t>
  </si>
  <si>
    <t>Market-Based (procurement-lag) gCO2e/1,000 tokens</t>
  </si>
  <si>
    <t>Adjusted Wh</t>
  </si>
  <si>
    <t>TPS Mean</t>
  </si>
  <si>
    <t>TPS SD</t>
  </si>
  <si>
    <t>Fixed_low</t>
  </si>
  <si>
    <t>TPS_low</t>
  </si>
  <si>
    <t>R_low</t>
  </si>
  <si>
    <t>Compounded</t>
  </si>
  <si>
    <t>Wh_low</t>
  </si>
  <si>
    <t>LB gCO2e/1,000 tokens</t>
  </si>
  <si>
    <t>MB gCO2e/1,000 tokens</t>
  </si>
  <si>
    <t>MB (procurement-lag) gCO2e/1,000 tokens</t>
  </si>
  <si>
    <t>Fixed_high</t>
  </si>
  <si>
    <t>TPS_high</t>
  </si>
  <si>
    <t>R_high</t>
  </si>
  <si>
    <t>Wh_high</t>
  </si>
  <si>
    <t>LB Low</t>
  </si>
  <si>
    <t>LB Central</t>
  </si>
  <si>
    <t>LB High</t>
  </si>
  <si>
    <t>MB Low</t>
  </si>
  <si>
    <t>MB Central</t>
  </si>
  <si>
    <t>MB High</t>
  </si>
  <si>
    <t>MB-lag Low</t>
  </si>
  <si>
    <t>MB-lag Central</t>
  </si>
  <si>
    <t>MB-lag High</t>
  </si>
  <si>
    <t>Table 1 — GPT-5.5 measured reasoning-mode multipliers: difficulty x length grid (medians, v2 fixed-task records, frozen corpus).</t>
  </si>
  <si>
    <t>Hard-short (100/300)</t>
  </si>
  <si>
    <t>Hard-medium (1k/1k)</t>
  </si>
  <si>
    <t>Hard-long (10k/1.5k)</t>
  </si>
  <si>
    <t>Easy floor (10k summarise)</t>
  </si>
  <si>
    <t>Heavy task k=36 (1k)</t>
  </si>
  <si>
    <t>Minimal</t>
  </si>
  <si>
    <t>Hard-long cells carry small n (2-4): reported with that caveat. Heavy task (36-element puzzle, added 30 Jul) is the task-demand sensitivity: reported separately, NOT compounded into Table 8 bands.</t>
  </si>
  <si>
    <t>Table B1 — OpenAI TPS summary, daily medians pooled per calendar day, full campaign 24 Jun - 22 Aug 2026.</t>
  </si>
  <si>
    <t>Model variant</t>
  </si>
  <si>
    <t>Mean visible TPS (o200k, daily medians)</t>
  </si>
  <si>
    <t>SD</t>
  </si>
  <si>
    <t>Days (n)</t>
  </si>
  <si>
    <t>Mean SD across variants = 13.4. Variants with fewer than 8 collection days excluded (legacy gpt-5-mini/nano/5.1).</t>
  </si>
  <si>
    <t>Envelope log-factor report (Section 3.8 / after Table 8): ln(high/low) per factor, live formulas (v1.0.0). Larger = wider contribution. Total = sum; envelope ratio = exp(total).</t>
  </si>
  <si>
    <t>ln A span</t>
  </si>
  <si>
    <t>ln PQPC span</t>
  </si>
  <si>
    <t>ln P span</t>
  </si>
  <si>
    <t>ln T span</t>
  </si>
  <si>
    <t>ln R span</t>
  </si>
  <si>
    <t>Total log-width</t>
  </si>
  <si>
    <t>Envelope ratio (top/bottom)</t>
  </si>
  <si>
    <t>Means across GPT-5.x reasoning variants (Corpus mode &lt;&gt; None, PQPC class 5x):</t>
  </si>
  <si>
    <t>Medians across all 47 rows:</t>
  </si>
  <si>
    <t>Envelope ratio, median across GPT-5.x reasoning variants:</t>
  </si>
  <si>
    <t>Bootstrap bands (v1.0.0). T: anchor/model ratio of medians of daily-median TPS (10k workload), days resampled independently for anchor and model, B = 10,000, seed 20260822; bounds = 5th/95th percentile of the ratio divided by the point ratio. R: requests in the hard-task 1k cell (prompt_version 2, k = 12) resampled, B = 10,000; bounds = 5th/95th percentile of the cell median divided by the point median. Non-reasoning variants: R = 1, no band. Relative factors apply to the Corpus-sheet centrals.</t>
  </si>
  <si>
    <t>T_low (boot)</t>
  </si>
  <si>
    <t>T_high (boot)</t>
  </si>
  <si>
    <t>T_low (mean/(mean+SD) method, comparison only)</t>
  </si>
  <si>
    <t>T_high (mean ± SD method, comparison only)</t>
  </si>
  <si>
    <t>fraction of days outside mean±1SD</t>
  </si>
  <si>
    <t>R cell n</t>
  </si>
  <si>
    <t>R cell median</t>
  </si>
  <si>
    <t>R_low (boot)</t>
  </si>
  <si>
    <t>R_high (boot)</t>
  </si>
  <si>
    <t>R_low (floor/central, comparison only)</t>
  </si>
  <si>
    <t>R_high (short/central, comparison only)</t>
  </si>
  <si>
    <t>Mean fraction of days outside mean±1SD:</t>
  </si>
  <si>
    <t>T and R bands from corpus_summary.py (B = 10,000, seed 20260822). Rows 3-49 cover all 46 measured variants (&gt;= 8 collection days) plus the gpt-5.6-sol (max)* floor row.</t>
  </si>
  <si>
    <t>Pinching table — Table 11 (Ferson &amp; Ginzburg 1996): envelope top-to-bottom ratio with each factor collapsed to its central in turn. Narrowing = full ratio / pinched ratio. Rows link to Levers.</t>
  </si>
  <si>
    <t>Full envelope ratio</t>
  </si>
  <si>
    <t>Pinch A</t>
  </si>
  <si>
    <t>Pinch PQPC</t>
  </si>
  <si>
    <t>Pinch P</t>
  </si>
  <si>
    <t>Pinch T</t>
  </si>
  <si>
    <t>Pinch R</t>
  </si>
  <si>
    <t>Narrowing: A</t>
  </si>
  <si>
    <t>Narrowing: PQPC</t>
  </si>
  <si>
    <t>Narrowing: P</t>
  </si>
  <si>
    <t>Narrowing: T</t>
  </si>
  <si>
    <t>Narrowing: R</t>
  </si>
  <si>
    <t>Reasoning variant flag (1 = GPT-5.x with measured R; excluded: gpt-4o-mini and rows whose Corpus mode is None)</t>
  </si>
  <si>
    <t>Pinch A and PQPC together = EXP(total − ln A span − ln PQPC span)</t>
  </si>
  <si>
    <t>Staged: A + PQPC + T pinched = EXP(total − A − PQPC − T)</t>
  </si>
  <si>
    <t>Staged: + R pinched</t>
  </si>
  <si>
    <t>Staged: + P pinched (= 1 by construction)</t>
  </si>
  <si>
    <t>Median across GPT-5.x reasoning variants (rows flagged 1 in column N; live formulas, v1.0.0):</t>
  </si>
  <si>
    <t>Anchor and PQPC collapsed together (median / min / max across the same rows; column O):</t>
  </si>
  <si>
    <t>Full envelope across the same rows: min / median / mean / max:</t>
  </si>
  <si>
    <t>Staged pinch medians (Table 11 lower rows): A+PQPC+T / +R / +P; narrowing = full median ÷ pinched median:</t>
  </si>
  <si>
    <t>Comparison</t>
  </si>
  <si>
    <t>Numerator</t>
  </si>
  <si>
    <t>Denominator</t>
  </si>
  <si>
    <t>TPS, numerator (Corpus P50)</t>
  </si>
  <si>
    <t>TPS, denominator (Corpus P50)</t>
  </si>
  <si>
    <t>R, numerator</t>
  </si>
  <si>
    <t>R, denominator</t>
  </si>
  <si>
    <t>Ratio central = (R_num/R_den) x (TPS_den/TPS_num)</t>
  </si>
  <si>
    <t>Check: ratio of the Table 7 location-based figures</t>
  </si>
  <si>
    <t>Ratio central, deposited (corpus_summary.py, unrounded)</t>
  </si>
  <si>
    <t>Deposited vs workbook chain</t>
  </si>
  <si>
    <t>Ratio low (5th percentile)</t>
  </si>
  <si>
    <t>Ratio high (95th percentile)</t>
  </si>
  <si>
    <t>Low as a factor on the central</t>
  </si>
  <si>
    <t>High as a factor on the central</t>
  </si>
  <si>
    <t>Table 8 LB low, numerator</t>
  </si>
  <si>
    <t>Table 8 LB high, numerator</t>
  </si>
  <si>
    <t>Table 8 LB low, denominator</t>
  </si>
  <si>
    <t>Table 8 LB high, denominator</t>
  </si>
  <si>
    <t>Marginal reading, low = P/S</t>
  </si>
  <si>
    <t>Marginal reading, high = Q/R</t>
  </si>
  <si>
    <t>Model switch, fixed setting</t>
  </si>
  <si>
    <t>Effort dial, same model</t>
  </si>
  <si>
    <t>Notes</t>
  </si>
  <si>
    <t>1. What the ratio is.</t>
  </si>
  <si>
    <t>Each row divides one variant’s per-token emissions by another’s. Table 6 builds every variant from the same chain: anchor Wh/1,000 tokens × TPS adjustment × PUE × PQPC × reasoning multiplier, then Table 7 multiplies by grid intensity. Within the GPT-5.x family the anchor (1.9233 Wh/1,000 tokens), the PUE (1.05), the PQPC (2.99) and the grid intensity are identical on both sides, so they cancel exactly and only the two measured terms survive.</t>
  </si>
  <si>
    <t>2. The formula (column H).</t>
  </si>
  <si>
    <t>ratio = (R_numerator / R_denominator) × (TPS_denominator / TPS_numerator). Energy per token is inversely proportional to throughput and directly proportional to the reasoning multiplier, so throughput enters inverted. Worked example, row 3: (1.44 / 1.60) × (129.90 / 52.91) = 2.21. Column I is the independent check – the same ratio taken from the finished Table 7 gCO₂e figures – and must equal column H to the last digit.</t>
  </si>
  <si>
    <t>3. The envelope (columns L and M).</t>
  </si>
  <si>
    <t>A joint bootstrap of the two measured terms in corpus_summary.py (B = 10,000 resamples, seed 20260823). One resample draws, for each side independently: the variant’s collection days with replacement, taking the median of the daily-median TPS; and the central reasoning cell’s requests with replacement, taking the median multiplier. The ratio is formed from those four draws. The 5th and 95th percentiles of the 10,000 ratios, expressed as factors on the point ratio (columns N and O), give the bounds. The anchor, PUE, PQPC and grid intensity are not resampled, because they cancel; sample size therefore enters through the resampling, which is why the thinnest cell (gpt-5.4-mini xhigh, n = 26) gives the widest row.</t>
  </si>
  <si>
    <t>4. The marginal reading (columns T and U).</t>
  </si>
  <si>
    <t>What a reader would get by combining the absolute bounds of Table 8 instead: low = numerator’s low ÷ denominator’s high, high = numerator’s high ÷ denominator’s low (columns P–S are the Table 8 location-based bounds for the two variants). This treats factors that are identical on both sides as though they could vary independently, and is wrong by roughly two orders of magnitude. It is shown to make that point, not as a result.</t>
  </si>
  <si>
    <t>5. Column K — difference from the workbook chain.</t>
  </si>
  <si>
    <t>Column J is the deposited figure, computed from the raw records at full precision; column H is rebuilt from the Corpus sheet, which stores TPS and R rounded to two decimals. That rounding accounts for differences below about 0.5%.</t>
  </si>
  <si>
    <t>6. Labels.</t>
  </si>
  <si>
    <t>The baseline of the gpt-5.4 effort-dial row is named “gpt-5.4 (non-reasoning)” in Tables 6 – 8 and “gpt-5.4 (minimal)” in ratios.csv. They are the same variant. The Tables 6 – 8 name is used here so the lookups resolve.</t>
  </si>
  <si>
    <t>7. Provenance.</t>
  </si>
  <si>
    <t>Formulas: this sheet. Bootstrap: corpus_summary.py against the frozen corpus (14,317 ok records, 46 variants), written to ratios.csv. Both are in the deposit.</t>
  </si>
  <si>
    <t>GPT-4o-mini (anchor)</t>
  </si>
  <si>
    <t>GPT-4o</t>
  </si>
  <si>
    <t>a = Wh per 1,000 input tokens</t>
  </si>
  <si>
    <t>b = Wh per 1,000 output tokens</t>
  </si>
  <si>
    <t>ρ = a / b</t>
  </si>
  <si>
    <t>Prefill share of the short-prompt query</t>
  </si>
  <si>
    <t>Derivation: a·100 + b·300 = short; a·10,000 + b·1,500 = long  ⇒  a = (long − 5·short)/9,500 per token.</t>
  </si>
  <si>
    <t>Shape factor S = (1 + ρ·N_in/(R·N_out)) / (1 + ρ/3)</t>
  </si>
  <si>
    <t>Case</t>
  </si>
  <si>
    <t>N_in</t>
  </si>
  <si>
    <t>N_out</t>
  </si>
  <si>
    <t>R</t>
  </si>
  <si>
    <t>S (ρ anchor)</t>
  </si>
  <si>
    <t>S (ρ GPT-4o)</t>
  </si>
  <si>
    <t>Anchor shape</t>
  </si>
  <si>
    <t>Reasoning central shape</t>
  </si>
  <si>
    <t>Jegham long prompt</t>
  </si>
  <si>
    <t>Long-context turn, sol high (Table 9 last row)</t>
  </si>
  <si>
    <t>Table 9 last row (sol high × 1,000 out × S anchor)</t>
  </si>
  <si>
    <t>LB low</t>
  </si>
  <si>
    <t>LB central</t>
  </si>
  <si>
    <t>LB high</t>
  </si>
  <si>
    <t>MB low</t>
  </si>
  <si>
    <t>MB central</t>
  </si>
  <si>
    <t>MB high</t>
  </si>
  <si>
    <t>gCO2e per query</t>
  </si>
  <si>
    <t>Reasoning-variant overstatement bound ρ(R−1)/(3R) at R = 12.49 (gpt-5.4-mini xhigh)</t>
  </si>
  <si>
    <t>Table 7 — Conversion to location-based and market-based gCO2e/1,000 tokens. LB=Location-Based, MB=Market-Based.</t>
  </si>
  <si>
    <t>Appendix C — staged low-range calculation (formulas). T and R bands are bootstrap percentile factors from the Bootstrap sheet (v1.0.0); A, PQPC and P are declared bounds (Assumptions). LB=Location-Based, MB=Market-Based.</t>
  </si>
  <si>
    <r>
      <t xml:space="preserve">Appendix C — staged high-range calculation (formulas). T and R bands are bootstrap percentile factors from the Bootstrap sheet (v1.0.0); A, PQPC and P are declared bounds (Assumptions). </t>
    </r>
    <r>
      <rPr>
        <sz val="11"/>
        <color rgb="FF000000"/>
        <rFont val="Arial"/>
        <family val="2"/>
      </rPr>
      <t>LB=Location-Based, MB=Market-Based.</t>
    </r>
  </si>
  <si>
    <t>Table 8 — uncertainty bounds (links to C_Low / C_High and Table 7). Columns H-J: market-based bounds under the procurement-lag crediting scenario (Section 4.8). LB=Location-Based, MB=Market-Based.</t>
  </si>
  <si>
    <t>Google 2026 Environmental Report, p. 93 (data centres 42,415,800 MWh = 97.3%)</t>
  </si>
  <si>
    <t>Google 2026 Environmental Report, p. 90</t>
  </si>
  <si>
    <t>Google 2026 Environmental Report, p. 90 — third-party limited assurance</t>
  </si>
  <si>
    <t>Google 2026 Environmental Report, p. 93</t>
  </si>
  <si>
    <t>Google 2026 Environmental Report, p. 94 — reported alongside, not instead of, market-based Scope 2; not used in Table 4</t>
  </si>
  <si>
    <t>Jegham et al. [16]; 100 input + 300 output tokens (Section 4.4)</t>
  </si>
  <si>
    <t>FY25 reported market-based Scope 2: 237,251 tCO2e / 5.16 TWh [17]; out-of-period</t>
  </si>
  <si>
    <t>FY2025 reported market-based Scope 2: 2,707,428 mtCO2e / 37.0 TWh [33]</t>
  </si>
  <si>
    <t>Ratio Envelopes — how a within-family comparison is derived, and why it is far tighter than the absolute envelopes. Every column except J, L and M is a live formula; J, L and M come from the bootstrap in corpus_summary.py (B = 10,000, seed 20260823). See the notes below the table.</t>
  </si>
  <si>
    <t>ShapeCorrection — Appendix D.5.8 (v1.0.0). Two-point fits E = a·N_in + b·N_out to Jegham et al. [16] v6 short (100/300) and long (10,000/1,500) prompts; shape factor S. Typed values are inputs; every other number is a formula.</t>
  </si>
  <si>
    <t>tCO2e × 1e6 / (MWh × 1e3) — Section 3.7 realised-intensity rule, as applied to Microsoft [33] and Oracle [17]</t>
  </si>
  <si>
    <t>Short prompt Wh (100 in / 300 out) [16]</t>
  </si>
  <si>
    <t>Long prompt Wh (10,000 in / 1,500 out) [16]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</si>
</sst>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00"/>
    <numFmt numFmtId="167" formatCode="0.0%"/>
  </numFmts>
  <fonts count="3" x14ac:knownFonts="1">
    <font>
      <sz val="11"/>
      <color rgb="FF000000"/>
      <name val="Arial"/>
      <charset val="1"/>
    </font>
    <font>
      <b/>
      <sz val="11"/>
      <color rgb="FF000000"/>
      <name val="Arial"/>
      <family val="2"/>
    </font>
    <font>
      <sz val="11"/>
      <color rgb="FF00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164" fontId="0" fillId="0" borderId="0" xfId="0" applyNumberFormat="1"/>
    <xf numFmtId="165" fontId="0" fillId="0" borderId="0" xfId="0" applyNumberFormat="1"/>
    <xf numFmtId="2" fontId="0" fillId="0" borderId="0" xfId="0" applyNumberFormat="1"/>
    <xf numFmtId="166" fontId="0" fillId="0" borderId="0" xfId="0" applyNumberFormat="1"/>
    <xf numFmtId="3" fontId="0" fillId="0" borderId="0" xfId="0" applyNumberFormat="1"/>
    <xf numFmtId="167" fontId="0" fillId="0" borderId="0" xfId="0" applyNumberFormat="1"/>
    <xf numFmtId="1" fontId="0" fillId="0" borderId="0" xfId="0" applyNumberFormat="1"/>
    <xf numFmtId="9" fontId="0" fillId="0" borderId="0" xfId="0" applyNumberFormat="1"/>
    <xf numFmtId="4" fontId="0" fillId="0" borderId="0" xfId="0" applyNumberFormat="1"/>
    <xf numFmtId="4" fontId="1" fillId="0" borderId="0" xfId="0" applyNumberFormat="1" applyFont="1"/>
    <xf numFmtId="0" fontId="1" fillId="0" borderId="0" xfId="0" applyFont="1" applyAlignment="1">
      <alignment wrapText="1"/>
    </xf>
    <xf numFmtId="10" fontId="0" fillId="0" borderId="0" xfId="0" applyNumberFormat="1"/>
    <xf numFmtId="0" fontId="2" fillId="0" borderId="0" xfId="0" applyFont="1"/>
    <xf numFmtId="0" fontId="1" fillId="0" borderId="0" xfId="0" applyFont="1" applyAlignment="1">
      <alignment vertical="top"/>
    </xf>
    <xf numFmtId="0" fontId="0" fillId="0" borderId="0" xfId="0" applyAlignment="1">
      <alignment vertical="top" wrapText="1"/>
    </xf>
    <xf numFmtId="0" fontId="2"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2"/>
  <sheetViews>
    <sheetView tabSelected="1" zoomScaleNormal="100" workbookViewId="0"/>
  </sheetViews>
  <sheetFormatPr baseColWidth="10" defaultColWidth="14.5" defaultRowHeight="15" customHeight="1" x14ac:dyDescent="0.15"/>
  <cols>
    <col min="1" max="1" width="42" customWidth="1"/>
    <col min="2" max="2" width="12" customWidth="1"/>
    <col min="3" max="3" width="8.6640625" customWidth="1"/>
    <col min="4" max="4" width="75" customWidth="1"/>
    <col min="5" max="6" width="8.6640625" customWidth="1"/>
  </cols>
  <sheetData>
    <row r="1" spans="1:4" ht="15" customHeight="1" x14ac:dyDescent="0.15">
      <c r="A1" s="1" t="s">
        <v>0</v>
      </c>
    </row>
    <row r="3" spans="1:4" ht="15" customHeight="1" x14ac:dyDescent="0.15">
      <c r="A3" t="s">
        <v>1</v>
      </c>
      <c r="B3" s="2">
        <v>0.57699999999999996</v>
      </c>
      <c r="D3" s="14" t="s">
        <v>343</v>
      </c>
    </row>
    <row r="4" spans="1:4" ht="15" customHeight="1" x14ac:dyDescent="0.15">
      <c r="A4" t="s">
        <v>2</v>
      </c>
      <c r="B4" s="2">
        <f>1000/300</f>
        <v>3.3333333333333335</v>
      </c>
      <c r="D4" t="s">
        <v>3</v>
      </c>
    </row>
    <row r="5" spans="1:4" ht="15" customHeight="1" x14ac:dyDescent="0.15">
      <c r="A5" t="s">
        <v>4</v>
      </c>
      <c r="B5" s="3">
        <v>78.3</v>
      </c>
      <c r="D5" t="s">
        <v>5</v>
      </c>
    </row>
    <row r="6" spans="1:4" ht="15" customHeight="1" x14ac:dyDescent="0.15">
      <c r="A6" t="s">
        <v>6</v>
      </c>
      <c r="B6" s="4">
        <v>1.05</v>
      </c>
      <c r="D6" t="s">
        <v>7</v>
      </c>
    </row>
    <row r="7" spans="1:4" ht="15" customHeight="1" x14ac:dyDescent="0.15">
      <c r="A7" t="s">
        <v>8</v>
      </c>
      <c r="B7" s="4">
        <v>2.99</v>
      </c>
      <c r="D7" t="s">
        <v>9</v>
      </c>
    </row>
    <row r="8" spans="1:4" ht="15" customHeight="1" x14ac:dyDescent="0.15">
      <c r="A8" t="s">
        <v>10</v>
      </c>
      <c r="B8" s="4">
        <v>1</v>
      </c>
      <c r="D8" t="s">
        <v>11</v>
      </c>
    </row>
    <row r="9" spans="1:4" ht="15" customHeight="1" x14ac:dyDescent="0.15">
      <c r="A9" t="s">
        <v>12</v>
      </c>
      <c r="B9" s="2">
        <v>0.35299999999999998</v>
      </c>
      <c r="D9" t="s">
        <v>13</v>
      </c>
    </row>
    <row r="10" spans="1:4" ht="15" customHeight="1" x14ac:dyDescent="0.15">
      <c r="A10" t="s">
        <v>14</v>
      </c>
      <c r="B10" s="5">
        <f>ROUND('Grid Intensity Data'!F20,1)/1000</f>
        <v>5.16E-2</v>
      </c>
      <c r="D10" t="s">
        <v>15</v>
      </c>
    </row>
    <row r="11" spans="1:4" ht="15" customHeight="1" x14ac:dyDescent="0.15">
      <c r="A11" t="s">
        <v>16</v>
      </c>
      <c r="B11" s="4">
        <v>0.43</v>
      </c>
      <c r="D11" t="s">
        <v>17</v>
      </c>
    </row>
    <row r="12" spans="1:4" ht="15" customHeight="1" x14ac:dyDescent="0.15">
      <c r="A12" t="s">
        <v>18</v>
      </c>
      <c r="B12" s="4">
        <v>1.2</v>
      </c>
      <c r="D12" t="s">
        <v>19</v>
      </c>
    </row>
    <row r="13" spans="1:4" ht="15" customHeight="1" x14ac:dyDescent="0.15">
      <c r="A13" t="s">
        <v>20</v>
      </c>
      <c r="B13" s="4">
        <v>0.53</v>
      </c>
      <c r="D13" t="s">
        <v>21</v>
      </c>
    </row>
    <row r="14" spans="1:4" ht="15" customHeight="1" x14ac:dyDescent="0.15">
      <c r="A14" t="s">
        <v>22</v>
      </c>
      <c r="B14" s="4">
        <v>1.48</v>
      </c>
      <c r="D14" t="s">
        <v>21</v>
      </c>
    </row>
    <row r="15" spans="1:4" ht="15" customHeight="1" x14ac:dyDescent="0.15">
      <c r="A15" t="s">
        <v>23</v>
      </c>
      <c r="B15" s="4">
        <v>0.95</v>
      </c>
      <c r="D15" t="s">
        <v>24</v>
      </c>
    </row>
    <row r="16" spans="1:4" ht="15" customHeight="1" x14ac:dyDescent="0.15">
      <c r="A16" t="s">
        <v>25</v>
      </c>
      <c r="B16" s="4">
        <v>1.03</v>
      </c>
      <c r="D16" t="s">
        <v>24</v>
      </c>
    </row>
    <row r="17" spans="1:4" ht="15" customHeight="1" x14ac:dyDescent="0.15">
      <c r="A17" t="s">
        <v>26</v>
      </c>
      <c r="B17" s="4">
        <f>B11*B13*B15</f>
        <v>0.216505</v>
      </c>
      <c r="D17" t="s">
        <v>27</v>
      </c>
    </row>
    <row r="18" spans="1:4" ht="15" customHeight="1" x14ac:dyDescent="0.15">
      <c r="A18" t="s">
        <v>28</v>
      </c>
      <c r="B18" s="4">
        <f>B12*B14*B16</f>
        <v>1.82928</v>
      </c>
      <c r="D18" t="s">
        <v>29</v>
      </c>
    </row>
    <row r="19" spans="1:4" ht="15" customHeight="1" x14ac:dyDescent="0.15">
      <c r="A19" t="s">
        <v>30</v>
      </c>
      <c r="B19" s="4">
        <f>B11*1*B15</f>
        <v>0.40849999999999997</v>
      </c>
      <c r="D19" t="s">
        <v>31</v>
      </c>
    </row>
    <row r="20" spans="1:4" ht="15" customHeight="1" x14ac:dyDescent="0.15">
      <c r="A20" t="s">
        <v>32</v>
      </c>
      <c r="B20" s="4">
        <f>B12*1*B16</f>
        <v>1.236</v>
      </c>
      <c r="D20" t="s">
        <v>33</v>
      </c>
    </row>
    <row r="21" spans="1:4" ht="15.75" customHeight="1" x14ac:dyDescent="0.15">
      <c r="A21" t="s">
        <v>34</v>
      </c>
      <c r="B21" s="5">
        <f>ROUND('Grid Intensity Data'!G30,1)/1000</f>
        <v>0.15890000000000001</v>
      </c>
      <c r="D21" t="s">
        <v>35</v>
      </c>
    </row>
    <row r="22" spans="1:4" ht="15.75" customHeight="1" x14ac:dyDescent="0.15">
      <c r="A22" t="s">
        <v>36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49"/>
  <sheetViews>
    <sheetView zoomScaleNormal="100" workbookViewId="0"/>
  </sheetViews>
  <sheetFormatPr baseColWidth="10" defaultColWidth="14.5" defaultRowHeight="15" customHeight="1" x14ac:dyDescent="0.15"/>
  <cols>
    <col min="1" max="2" width="26" customWidth="1"/>
    <col min="3" max="3" width="14" customWidth="1"/>
    <col min="4" max="4" width="7" customWidth="1"/>
    <col min="5" max="6" width="18" customWidth="1"/>
    <col min="7" max="7" width="6" customWidth="1"/>
    <col min="8" max="8" width="14" customWidth="1"/>
    <col min="9" max="9" width="5" customWidth="1"/>
    <col min="10" max="10" width="16" customWidth="1"/>
    <col min="11" max="11" width="5" customWidth="1"/>
    <col min="12" max="12" width="14" customWidth="1"/>
    <col min="13" max="13" width="5" customWidth="1"/>
    <col min="14" max="14" width="14" customWidth="1"/>
    <col min="15" max="15" width="13" customWidth="1"/>
    <col min="16" max="16" width="5" customWidth="1"/>
    <col min="17" max="17" width="18" customWidth="1"/>
    <col min="18" max="18" width="10" customWidth="1"/>
  </cols>
  <sheetData>
    <row r="1" spans="1:18" ht="15" customHeight="1" x14ac:dyDescent="0.15">
      <c r="A1" s="1" t="s">
        <v>89</v>
      </c>
    </row>
    <row r="2" spans="1:18" ht="15" customHeight="1" x14ac:dyDescent="0.15">
      <c r="A2" s="1" t="s">
        <v>90</v>
      </c>
      <c r="B2" s="1" t="s">
        <v>91</v>
      </c>
      <c r="C2" s="1" t="s">
        <v>92</v>
      </c>
      <c r="D2" s="1" t="s">
        <v>93</v>
      </c>
      <c r="E2" s="1" t="s">
        <v>94</v>
      </c>
      <c r="F2" s="1" t="s">
        <v>95</v>
      </c>
      <c r="G2" s="1" t="s">
        <v>96</v>
      </c>
      <c r="H2" s="1" t="s">
        <v>97</v>
      </c>
      <c r="I2" s="1" t="s">
        <v>98</v>
      </c>
      <c r="J2" s="1" t="s">
        <v>99</v>
      </c>
      <c r="K2" s="1" t="s">
        <v>98</v>
      </c>
      <c r="L2" s="1" t="s">
        <v>100</v>
      </c>
      <c r="M2" s="1" t="s">
        <v>98</v>
      </c>
      <c r="N2" s="1" t="s">
        <v>101</v>
      </c>
      <c r="O2" s="1" t="s">
        <v>102</v>
      </c>
      <c r="P2" s="1" t="s">
        <v>98</v>
      </c>
      <c r="Q2" s="1" t="s">
        <v>103</v>
      </c>
      <c r="R2" s="1" t="s">
        <v>104</v>
      </c>
    </row>
    <row r="3" spans="1:18" ht="15" customHeight="1" x14ac:dyDescent="0.15">
      <c r="A3" t="s">
        <v>105</v>
      </c>
      <c r="B3" t="s">
        <v>105</v>
      </c>
      <c r="C3" s="4">
        <v>78.3</v>
      </c>
      <c r="D3" s="8">
        <v>105</v>
      </c>
      <c r="E3" s="3">
        <v>80.099999999999994</v>
      </c>
      <c r="F3" s="3">
        <v>23.9</v>
      </c>
      <c r="G3" s="8">
        <v>57</v>
      </c>
      <c r="H3" s="4">
        <v>1</v>
      </c>
      <c r="I3" s="8">
        <v>47</v>
      </c>
      <c r="J3" s="4">
        <v>1</v>
      </c>
      <c r="K3" s="8">
        <v>46</v>
      </c>
      <c r="L3" s="4">
        <v>1</v>
      </c>
      <c r="M3" s="8">
        <v>4</v>
      </c>
      <c r="N3" s="4">
        <v>1</v>
      </c>
      <c r="O3" s="4">
        <v>1</v>
      </c>
      <c r="P3" s="8">
        <v>12</v>
      </c>
      <c r="Q3" t="s">
        <v>106</v>
      </c>
      <c r="R3" t="s">
        <v>107</v>
      </c>
    </row>
    <row r="4" spans="1:18" ht="15" customHeight="1" x14ac:dyDescent="0.15">
      <c r="A4" t="s">
        <v>108</v>
      </c>
      <c r="B4" t="s">
        <v>109</v>
      </c>
      <c r="C4" s="4">
        <v>60.78</v>
      </c>
      <c r="D4" s="8">
        <v>102</v>
      </c>
      <c r="E4" s="3">
        <v>61.4</v>
      </c>
      <c r="F4" s="3">
        <v>13.3</v>
      </c>
      <c r="G4" s="8">
        <v>57</v>
      </c>
      <c r="H4" s="4">
        <v>1</v>
      </c>
      <c r="I4" s="8">
        <v>46</v>
      </c>
      <c r="J4" s="4">
        <v>1</v>
      </c>
      <c r="K4" s="8">
        <v>45</v>
      </c>
      <c r="L4" s="4">
        <v>1</v>
      </c>
      <c r="M4" s="8">
        <v>4</v>
      </c>
      <c r="N4" s="4">
        <v>1</v>
      </c>
      <c r="O4" s="4">
        <v>1</v>
      </c>
      <c r="P4" s="8">
        <v>14</v>
      </c>
      <c r="Q4" t="s">
        <v>106</v>
      </c>
      <c r="R4" t="s">
        <v>110</v>
      </c>
    </row>
    <row r="5" spans="1:18" ht="15" customHeight="1" x14ac:dyDescent="0.15">
      <c r="A5" t="s">
        <v>111</v>
      </c>
      <c r="B5" t="s">
        <v>111</v>
      </c>
      <c r="C5" s="4">
        <v>61</v>
      </c>
      <c r="D5" s="8">
        <v>102</v>
      </c>
      <c r="E5" s="3">
        <v>61.7</v>
      </c>
      <c r="F5" s="3">
        <v>14.2</v>
      </c>
      <c r="G5" s="8">
        <v>57</v>
      </c>
      <c r="H5" s="4">
        <v>2.23</v>
      </c>
      <c r="I5" s="8">
        <v>43</v>
      </c>
      <c r="J5" s="4">
        <v>3.31</v>
      </c>
      <c r="K5" s="8">
        <v>45</v>
      </c>
      <c r="L5" s="4">
        <v>1.87</v>
      </c>
      <c r="M5" s="8">
        <v>3</v>
      </c>
      <c r="N5" s="4">
        <v>1.1499999999999999</v>
      </c>
      <c r="O5" s="4">
        <v>5.1100000000000003</v>
      </c>
      <c r="P5" s="8">
        <v>13</v>
      </c>
      <c r="Q5" t="s">
        <v>112</v>
      </c>
      <c r="R5" t="s">
        <v>110</v>
      </c>
    </row>
    <row r="6" spans="1:18" ht="15" customHeight="1" x14ac:dyDescent="0.15">
      <c r="A6" t="s">
        <v>113</v>
      </c>
      <c r="B6" t="s">
        <v>113</v>
      </c>
      <c r="C6" s="4">
        <v>63.47</v>
      </c>
      <c r="D6" s="8">
        <v>103</v>
      </c>
      <c r="E6" s="3">
        <v>60.8</v>
      </c>
      <c r="F6" s="3">
        <v>14.5</v>
      </c>
      <c r="G6" s="8">
        <v>57</v>
      </c>
      <c r="H6" s="4">
        <v>3.84</v>
      </c>
      <c r="I6" s="8">
        <v>37</v>
      </c>
      <c r="J6" s="4">
        <v>5.81</v>
      </c>
      <c r="K6" s="8">
        <v>36</v>
      </c>
      <c r="L6" s="4">
        <v>3.34</v>
      </c>
      <c r="M6" s="8">
        <v>2</v>
      </c>
      <c r="N6" s="4">
        <v>1.63</v>
      </c>
      <c r="O6" s="4">
        <v>8.23</v>
      </c>
      <c r="P6" s="8">
        <v>12</v>
      </c>
      <c r="Q6" t="s">
        <v>114</v>
      </c>
      <c r="R6" t="s">
        <v>110</v>
      </c>
    </row>
    <row r="7" spans="1:18" ht="15" customHeight="1" x14ac:dyDescent="0.15">
      <c r="A7" t="s">
        <v>115</v>
      </c>
      <c r="B7" t="s">
        <v>115</v>
      </c>
      <c r="C7" s="4">
        <v>69</v>
      </c>
      <c r="D7" s="8">
        <v>94</v>
      </c>
      <c r="E7" s="3">
        <v>68.099999999999994</v>
      </c>
      <c r="F7" s="3">
        <v>15.7</v>
      </c>
      <c r="G7" s="8">
        <v>56</v>
      </c>
      <c r="H7" s="4">
        <v>6.12</v>
      </c>
      <c r="I7" s="8">
        <v>32</v>
      </c>
      <c r="J7" s="4">
        <v>9.1</v>
      </c>
      <c r="K7" s="8">
        <v>34</v>
      </c>
      <c r="M7" s="8">
        <v>0</v>
      </c>
      <c r="N7" s="4">
        <v>3.24</v>
      </c>
      <c r="O7" s="4">
        <v>14.39</v>
      </c>
      <c r="P7" s="8">
        <v>12</v>
      </c>
      <c r="Q7" t="s">
        <v>116</v>
      </c>
      <c r="R7" t="s">
        <v>110</v>
      </c>
    </row>
    <row r="8" spans="1:18" ht="15" customHeight="1" x14ac:dyDescent="0.15">
      <c r="A8" t="s">
        <v>117</v>
      </c>
      <c r="B8" t="s">
        <v>117</v>
      </c>
      <c r="C8" s="4">
        <v>61.85</v>
      </c>
      <c r="D8" s="8">
        <v>101</v>
      </c>
      <c r="E8" s="3">
        <v>63.8</v>
      </c>
      <c r="F8" s="3">
        <v>16.7</v>
      </c>
      <c r="G8" s="8">
        <v>56</v>
      </c>
      <c r="H8" s="4">
        <v>3.75</v>
      </c>
      <c r="I8" s="8">
        <v>38</v>
      </c>
      <c r="J8" s="4">
        <v>5.77</v>
      </c>
      <c r="K8" s="8">
        <v>35</v>
      </c>
      <c r="L8" s="4">
        <v>3.59</v>
      </c>
      <c r="M8" s="8">
        <v>2</v>
      </c>
      <c r="N8" s="4">
        <v>1.67</v>
      </c>
      <c r="O8" s="4">
        <v>8.7100000000000009</v>
      </c>
      <c r="P8" s="8">
        <v>12</v>
      </c>
      <c r="Q8" t="s">
        <v>118</v>
      </c>
      <c r="R8" t="s">
        <v>110</v>
      </c>
    </row>
    <row r="9" spans="1:18" ht="15" customHeight="1" x14ac:dyDescent="0.15">
      <c r="A9" t="s">
        <v>119</v>
      </c>
      <c r="B9" t="s">
        <v>120</v>
      </c>
      <c r="C9" s="4">
        <v>60.3</v>
      </c>
      <c r="D9" s="8">
        <v>102</v>
      </c>
      <c r="E9" s="3">
        <v>59.6</v>
      </c>
      <c r="F9" s="3">
        <v>6.4</v>
      </c>
      <c r="G9" s="8">
        <v>57</v>
      </c>
      <c r="H9" s="4">
        <v>1</v>
      </c>
      <c r="I9" s="8">
        <v>40</v>
      </c>
      <c r="J9" s="4">
        <v>1</v>
      </c>
      <c r="K9" s="8">
        <v>37</v>
      </c>
      <c r="L9" s="4">
        <v>1</v>
      </c>
      <c r="M9" s="8">
        <v>4</v>
      </c>
      <c r="N9" s="4">
        <v>1</v>
      </c>
      <c r="O9" s="4">
        <v>1</v>
      </c>
      <c r="P9" s="8">
        <v>20</v>
      </c>
      <c r="Q9" t="s">
        <v>106</v>
      </c>
      <c r="R9" t="s">
        <v>110</v>
      </c>
    </row>
    <row r="10" spans="1:18" ht="15" customHeight="1" x14ac:dyDescent="0.15">
      <c r="A10" t="s">
        <v>121</v>
      </c>
      <c r="B10" t="s">
        <v>121</v>
      </c>
      <c r="C10" s="4">
        <v>57.53</v>
      </c>
      <c r="D10" s="8">
        <v>102</v>
      </c>
      <c r="E10" s="3">
        <v>57</v>
      </c>
      <c r="F10" s="3">
        <v>6</v>
      </c>
      <c r="G10" s="8">
        <v>57</v>
      </c>
      <c r="H10" s="4">
        <v>1.67</v>
      </c>
      <c r="I10" s="8">
        <v>39</v>
      </c>
      <c r="J10" s="4">
        <v>1.89</v>
      </c>
      <c r="K10" s="8">
        <v>37</v>
      </c>
      <c r="L10" s="4">
        <v>1.5</v>
      </c>
      <c r="M10" s="8">
        <v>4</v>
      </c>
      <c r="N10" s="4">
        <v>1.02</v>
      </c>
      <c r="O10" s="4">
        <v>2.71</v>
      </c>
      <c r="P10" s="8">
        <v>13</v>
      </c>
      <c r="Q10" t="s">
        <v>112</v>
      </c>
      <c r="R10" t="s">
        <v>110</v>
      </c>
    </row>
    <row r="11" spans="1:18" ht="15" customHeight="1" x14ac:dyDescent="0.15">
      <c r="A11" t="s">
        <v>122</v>
      </c>
      <c r="B11" t="s">
        <v>122</v>
      </c>
      <c r="C11" s="4">
        <v>57.78</v>
      </c>
      <c r="D11" s="8">
        <v>101</v>
      </c>
      <c r="E11" s="3">
        <v>57.9</v>
      </c>
      <c r="F11" s="3">
        <v>6.3</v>
      </c>
      <c r="G11" s="8">
        <v>57</v>
      </c>
      <c r="H11" s="4">
        <v>1.84</v>
      </c>
      <c r="I11" s="8">
        <v>39</v>
      </c>
      <c r="J11" s="4">
        <v>2.27</v>
      </c>
      <c r="K11" s="8">
        <v>37</v>
      </c>
      <c r="L11" s="4">
        <v>1.69</v>
      </c>
      <c r="M11" s="8">
        <v>4</v>
      </c>
      <c r="N11" s="4">
        <v>1.07</v>
      </c>
      <c r="O11" s="4">
        <v>3.58</v>
      </c>
      <c r="P11" s="8">
        <v>12</v>
      </c>
      <c r="Q11" t="s">
        <v>114</v>
      </c>
      <c r="R11" t="s">
        <v>110</v>
      </c>
    </row>
    <row r="12" spans="1:18" ht="15" customHeight="1" x14ac:dyDescent="0.15">
      <c r="A12" t="s">
        <v>123</v>
      </c>
      <c r="B12" t="s">
        <v>123</v>
      </c>
      <c r="C12" s="4">
        <v>57.09</v>
      </c>
      <c r="D12" s="8">
        <v>100</v>
      </c>
      <c r="E12" s="3">
        <v>57.5</v>
      </c>
      <c r="F12" s="3">
        <v>6.4</v>
      </c>
      <c r="G12" s="8">
        <v>56</v>
      </c>
      <c r="H12" s="4">
        <v>2.0299999999999998</v>
      </c>
      <c r="I12" s="8">
        <v>39</v>
      </c>
      <c r="J12" s="4">
        <v>2.39</v>
      </c>
      <c r="K12" s="8">
        <v>37</v>
      </c>
      <c r="L12" s="4">
        <v>1.87</v>
      </c>
      <c r="M12" s="8">
        <v>4</v>
      </c>
      <c r="N12" s="4">
        <v>1.0900000000000001</v>
      </c>
      <c r="O12" s="4">
        <v>4.0599999999999996</v>
      </c>
      <c r="P12" s="8">
        <v>12</v>
      </c>
      <c r="Q12" t="s">
        <v>116</v>
      </c>
      <c r="R12" t="s">
        <v>110</v>
      </c>
    </row>
    <row r="13" spans="1:18" ht="15" customHeight="1" x14ac:dyDescent="0.15">
      <c r="A13" t="s">
        <v>124</v>
      </c>
      <c r="B13" t="s">
        <v>124</v>
      </c>
      <c r="C13" s="4">
        <v>59.39</v>
      </c>
      <c r="D13" s="8">
        <v>102</v>
      </c>
      <c r="E13" s="3">
        <v>59.1</v>
      </c>
      <c r="F13" s="3">
        <v>6.9</v>
      </c>
      <c r="G13" s="8">
        <v>56</v>
      </c>
      <c r="H13" s="4">
        <v>3.22</v>
      </c>
      <c r="I13" s="8">
        <v>34</v>
      </c>
      <c r="J13" s="4">
        <v>3.59</v>
      </c>
      <c r="K13" s="8">
        <v>37</v>
      </c>
      <c r="M13" s="8">
        <v>0</v>
      </c>
      <c r="N13" s="4">
        <v>1.48</v>
      </c>
      <c r="O13" s="4">
        <v>7.08</v>
      </c>
      <c r="P13" s="8">
        <v>12</v>
      </c>
      <c r="Q13" t="s">
        <v>118</v>
      </c>
      <c r="R13" t="s">
        <v>110</v>
      </c>
    </row>
    <row r="14" spans="1:18" ht="15" customHeight="1" x14ac:dyDescent="0.15">
      <c r="A14" t="s">
        <v>125</v>
      </c>
      <c r="B14" t="s">
        <v>126</v>
      </c>
      <c r="C14" s="4">
        <v>156.58000000000001</v>
      </c>
      <c r="D14" s="8">
        <v>102</v>
      </c>
      <c r="E14" s="3">
        <v>156.6</v>
      </c>
      <c r="F14" s="3">
        <v>18.7</v>
      </c>
      <c r="G14" s="8">
        <v>57</v>
      </c>
      <c r="H14" s="4">
        <v>1</v>
      </c>
      <c r="I14" s="8">
        <v>40</v>
      </c>
      <c r="J14" s="4">
        <v>1</v>
      </c>
      <c r="K14" s="8">
        <v>37</v>
      </c>
      <c r="L14" s="4">
        <v>1</v>
      </c>
      <c r="M14" s="8">
        <v>4</v>
      </c>
      <c r="N14" s="4">
        <v>1</v>
      </c>
      <c r="O14" s="4">
        <v>1</v>
      </c>
      <c r="P14" s="8">
        <v>20</v>
      </c>
      <c r="Q14" t="s">
        <v>106</v>
      </c>
      <c r="R14" t="s">
        <v>110</v>
      </c>
    </row>
    <row r="15" spans="1:18" ht="15" customHeight="1" x14ac:dyDescent="0.15">
      <c r="A15" t="s">
        <v>127</v>
      </c>
      <c r="B15" t="s">
        <v>127</v>
      </c>
      <c r="C15" s="4">
        <v>153.07</v>
      </c>
      <c r="D15" s="8">
        <v>102</v>
      </c>
      <c r="E15" s="3">
        <v>154.1</v>
      </c>
      <c r="F15" s="3">
        <v>18.5</v>
      </c>
      <c r="G15" s="8">
        <v>57</v>
      </c>
      <c r="H15" s="4">
        <v>1.61</v>
      </c>
      <c r="I15" s="8">
        <v>40</v>
      </c>
      <c r="J15" s="4">
        <v>1.73</v>
      </c>
      <c r="K15" s="8">
        <v>37</v>
      </c>
      <c r="L15" s="4">
        <v>1.46</v>
      </c>
      <c r="M15" s="8">
        <v>4</v>
      </c>
      <c r="N15" s="4">
        <v>1.02</v>
      </c>
      <c r="O15" s="4">
        <v>2.85</v>
      </c>
      <c r="P15" s="8">
        <v>20</v>
      </c>
      <c r="Q15" t="s">
        <v>112</v>
      </c>
      <c r="R15" t="s">
        <v>110</v>
      </c>
    </row>
    <row r="16" spans="1:18" ht="15" customHeight="1" x14ac:dyDescent="0.15">
      <c r="A16" t="s">
        <v>128</v>
      </c>
      <c r="B16" t="s">
        <v>128</v>
      </c>
      <c r="C16" s="4">
        <v>156</v>
      </c>
      <c r="D16" s="8">
        <v>102</v>
      </c>
      <c r="E16" s="3">
        <v>152.30000000000001</v>
      </c>
      <c r="F16" s="3">
        <v>22.1</v>
      </c>
      <c r="G16" s="8">
        <v>57</v>
      </c>
      <c r="H16" s="4">
        <v>1.83</v>
      </c>
      <c r="I16" s="8">
        <v>40</v>
      </c>
      <c r="J16" s="4">
        <v>1.98</v>
      </c>
      <c r="K16" s="8">
        <v>37</v>
      </c>
      <c r="L16" s="4">
        <v>1.83</v>
      </c>
      <c r="M16" s="8">
        <v>4</v>
      </c>
      <c r="N16" s="4">
        <v>1.07</v>
      </c>
      <c r="O16" s="4">
        <v>3.62</v>
      </c>
      <c r="P16" s="8">
        <v>20</v>
      </c>
      <c r="Q16" t="s">
        <v>114</v>
      </c>
      <c r="R16" t="s">
        <v>110</v>
      </c>
    </row>
    <row r="17" spans="1:18" ht="15" customHeight="1" x14ac:dyDescent="0.15">
      <c r="A17" t="s">
        <v>129</v>
      </c>
      <c r="B17" t="s">
        <v>129</v>
      </c>
      <c r="C17" s="4">
        <v>157.47</v>
      </c>
      <c r="D17" s="8">
        <v>100</v>
      </c>
      <c r="E17" s="3">
        <v>155.19999999999999</v>
      </c>
      <c r="F17" s="3">
        <v>19.5</v>
      </c>
      <c r="G17" s="8">
        <v>56</v>
      </c>
      <c r="H17" s="4">
        <v>1.97</v>
      </c>
      <c r="I17" s="8">
        <v>39</v>
      </c>
      <c r="J17" s="4">
        <v>2.1</v>
      </c>
      <c r="K17" s="8">
        <v>37</v>
      </c>
      <c r="L17" s="4">
        <v>2.0099999999999998</v>
      </c>
      <c r="M17" s="8">
        <v>4</v>
      </c>
      <c r="N17" s="4">
        <v>1.1000000000000001</v>
      </c>
      <c r="O17" s="4">
        <v>4.41</v>
      </c>
      <c r="P17" s="8">
        <v>14</v>
      </c>
      <c r="Q17" t="s">
        <v>116</v>
      </c>
      <c r="R17" t="s">
        <v>110</v>
      </c>
    </row>
    <row r="18" spans="1:18" ht="15" customHeight="1" x14ac:dyDescent="0.15">
      <c r="A18" t="s">
        <v>130</v>
      </c>
      <c r="B18" t="s">
        <v>130</v>
      </c>
      <c r="C18" s="4">
        <v>154.37</v>
      </c>
      <c r="D18" s="8">
        <v>99</v>
      </c>
      <c r="E18" s="3">
        <v>153.69999999999999</v>
      </c>
      <c r="F18" s="3">
        <v>19.8</v>
      </c>
      <c r="G18" s="8">
        <v>56</v>
      </c>
      <c r="H18" s="4">
        <v>3.7</v>
      </c>
      <c r="I18" s="8">
        <v>39</v>
      </c>
      <c r="J18" s="4">
        <v>4.0999999999999996</v>
      </c>
      <c r="K18" s="8">
        <v>37</v>
      </c>
      <c r="L18" s="4">
        <v>3.89</v>
      </c>
      <c r="M18" s="8">
        <v>4</v>
      </c>
      <c r="N18" s="4">
        <v>2.0299999999999998</v>
      </c>
      <c r="O18" s="4">
        <v>8.31</v>
      </c>
      <c r="P18" s="8">
        <v>12</v>
      </c>
      <c r="Q18" t="s">
        <v>118</v>
      </c>
      <c r="R18" t="s">
        <v>110</v>
      </c>
    </row>
    <row r="19" spans="1:18" ht="15" customHeight="1" x14ac:dyDescent="0.15">
      <c r="A19" t="s">
        <v>131</v>
      </c>
      <c r="B19" t="s">
        <v>132</v>
      </c>
      <c r="C19" s="4">
        <v>145.41</v>
      </c>
      <c r="D19" s="8">
        <v>103</v>
      </c>
      <c r="E19" s="3">
        <v>140.5</v>
      </c>
      <c r="F19" s="3">
        <v>18.100000000000001</v>
      </c>
      <c r="G19" s="8">
        <v>57</v>
      </c>
      <c r="H19" s="4">
        <v>1</v>
      </c>
      <c r="I19" s="8">
        <v>40</v>
      </c>
      <c r="J19" s="4">
        <v>1</v>
      </c>
      <c r="K19" s="8">
        <v>37</v>
      </c>
      <c r="L19" s="4">
        <v>1</v>
      </c>
      <c r="M19" s="8">
        <v>4</v>
      </c>
      <c r="N19" s="4">
        <v>1</v>
      </c>
      <c r="O19" s="4">
        <v>1</v>
      </c>
      <c r="P19" s="8">
        <v>20</v>
      </c>
      <c r="Q19" t="s">
        <v>106</v>
      </c>
      <c r="R19" t="s">
        <v>110</v>
      </c>
    </row>
    <row r="20" spans="1:18" ht="15" customHeight="1" x14ac:dyDescent="0.15">
      <c r="A20" t="s">
        <v>133</v>
      </c>
      <c r="B20" t="s">
        <v>133</v>
      </c>
      <c r="C20" s="4">
        <v>138.63999999999999</v>
      </c>
      <c r="D20" s="8">
        <v>102</v>
      </c>
      <c r="E20" s="3">
        <v>137.19999999999999</v>
      </c>
      <c r="F20" s="3">
        <v>14.3</v>
      </c>
      <c r="G20" s="8">
        <v>57</v>
      </c>
      <c r="H20" s="4">
        <v>1.44</v>
      </c>
      <c r="I20" s="8">
        <v>40</v>
      </c>
      <c r="J20" s="4">
        <v>1.51</v>
      </c>
      <c r="K20" s="8">
        <v>37</v>
      </c>
      <c r="L20" s="4">
        <v>1.31</v>
      </c>
      <c r="M20" s="8">
        <v>4</v>
      </c>
      <c r="N20" s="4">
        <v>1.01</v>
      </c>
      <c r="O20" s="4">
        <v>2.19</v>
      </c>
      <c r="P20" s="8">
        <v>20</v>
      </c>
      <c r="Q20" t="s">
        <v>112</v>
      </c>
      <c r="R20" t="s">
        <v>110</v>
      </c>
    </row>
    <row r="21" spans="1:18" ht="15.75" customHeight="1" x14ac:dyDescent="0.15">
      <c r="A21" t="s">
        <v>134</v>
      </c>
      <c r="B21" t="s">
        <v>134</v>
      </c>
      <c r="C21" s="4">
        <v>140.63</v>
      </c>
      <c r="D21" s="8">
        <v>102</v>
      </c>
      <c r="E21" s="3">
        <v>136.69999999999999</v>
      </c>
      <c r="F21" s="3">
        <v>15.2</v>
      </c>
      <c r="G21" s="8">
        <v>57</v>
      </c>
      <c r="H21" s="4">
        <v>1.67</v>
      </c>
      <c r="I21" s="8">
        <v>40</v>
      </c>
      <c r="J21" s="4">
        <v>1.78</v>
      </c>
      <c r="K21" s="8">
        <v>37</v>
      </c>
      <c r="L21" s="4">
        <v>1.72</v>
      </c>
      <c r="M21" s="8">
        <v>4</v>
      </c>
      <c r="N21" s="4">
        <v>1.08</v>
      </c>
      <c r="O21" s="4">
        <v>3.66</v>
      </c>
      <c r="P21" s="8">
        <v>20</v>
      </c>
      <c r="Q21" t="s">
        <v>114</v>
      </c>
      <c r="R21" t="s">
        <v>110</v>
      </c>
    </row>
    <row r="22" spans="1:18" ht="15.75" customHeight="1" x14ac:dyDescent="0.15">
      <c r="A22" t="s">
        <v>135</v>
      </c>
      <c r="B22" t="s">
        <v>135</v>
      </c>
      <c r="C22" s="4">
        <v>142.46</v>
      </c>
      <c r="D22" s="8">
        <v>100</v>
      </c>
      <c r="E22" s="3">
        <v>140.4</v>
      </c>
      <c r="F22" s="3">
        <v>13.5</v>
      </c>
      <c r="G22" s="8">
        <v>56</v>
      </c>
      <c r="H22" s="4">
        <v>2.91</v>
      </c>
      <c r="I22" s="8">
        <v>39</v>
      </c>
      <c r="J22" s="4">
        <v>2.65</v>
      </c>
      <c r="K22" s="8">
        <v>37</v>
      </c>
      <c r="L22" s="4">
        <v>2.56</v>
      </c>
      <c r="M22" s="8">
        <v>4</v>
      </c>
      <c r="N22" s="4">
        <v>1.25</v>
      </c>
      <c r="O22" s="4">
        <v>6.81</v>
      </c>
      <c r="P22" s="8">
        <v>12</v>
      </c>
      <c r="Q22" t="s">
        <v>116</v>
      </c>
      <c r="R22" t="s">
        <v>110</v>
      </c>
    </row>
    <row r="23" spans="1:18" ht="15.75" customHeight="1" x14ac:dyDescent="0.15">
      <c r="A23" t="s">
        <v>136</v>
      </c>
      <c r="B23" t="s">
        <v>136</v>
      </c>
      <c r="C23" s="4">
        <v>145.78</v>
      </c>
      <c r="D23" s="8">
        <v>33</v>
      </c>
      <c r="E23" s="3">
        <v>139.19999999999999</v>
      </c>
      <c r="F23" s="3">
        <v>24.5</v>
      </c>
      <c r="G23" s="8">
        <v>23</v>
      </c>
      <c r="H23" s="4">
        <v>12.49</v>
      </c>
      <c r="I23" s="8">
        <v>26</v>
      </c>
      <c r="J23" s="4">
        <v>12.5</v>
      </c>
      <c r="K23" s="8">
        <v>33</v>
      </c>
      <c r="L23" s="4">
        <v>5.23</v>
      </c>
      <c r="M23" s="8">
        <v>1</v>
      </c>
      <c r="N23" s="4">
        <v>3.71</v>
      </c>
      <c r="O23" s="4">
        <v>35.9</v>
      </c>
      <c r="P23" s="8">
        <v>12</v>
      </c>
      <c r="Q23" t="s">
        <v>118</v>
      </c>
      <c r="R23" t="s">
        <v>110</v>
      </c>
    </row>
    <row r="24" spans="1:18" ht="15.75" customHeight="1" x14ac:dyDescent="0.15">
      <c r="A24" t="s">
        <v>137</v>
      </c>
      <c r="B24" t="s">
        <v>138</v>
      </c>
      <c r="C24" s="4">
        <v>85.94</v>
      </c>
      <c r="D24" s="8">
        <v>102</v>
      </c>
      <c r="E24" s="3">
        <v>86</v>
      </c>
      <c r="F24" s="3">
        <v>12.7</v>
      </c>
      <c r="G24" s="8">
        <v>57</v>
      </c>
      <c r="H24" s="4">
        <v>1</v>
      </c>
      <c r="I24" s="8">
        <v>40</v>
      </c>
      <c r="J24" s="4">
        <v>1</v>
      </c>
      <c r="K24" s="8">
        <v>37</v>
      </c>
      <c r="L24" s="4">
        <v>1</v>
      </c>
      <c r="M24" s="8">
        <v>4</v>
      </c>
      <c r="N24" s="4">
        <v>1</v>
      </c>
      <c r="O24" s="4">
        <v>1</v>
      </c>
      <c r="P24" s="8">
        <v>20</v>
      </c>
      <c r="Q24" t="s">
        <v>106</v>
      </c>
      <c r="R24" t="s">
        <v>110</v>
      </c>
    </row>
    <row r="25" spans="1:18" ht="15.75" customHeight="1" x14ac:dyDescent="0.15">
      <c r="A25" t="s">
        <v>139</v>
      </c>
      <c r="B25" t="s">
        <v>139</v>
      </c>
      <c r="C25" s="4">
        <v>91.65</v>
      </c>
      <c r="D25" s="8">
        <v>102</v>
      </c>
      <c r="E25" s="3">
        <v>92.1</v>
      </c>
      <c r="F25" s="3">
        <v>16.3</v>
      </c>
      <c r="G25" s="8">
        <v>57</v>
      </c>
      <c r="H25" s="4">
        <v>1.35</v>
      </c>
      <c r="I25" s="8">
        <v>40</v>
      </c>
      <c r="J25" s="4">
        <v>1.41</v>
      </c>
      <c r="K25" s="8">
        <v>36</v>
      </c>
      <c r="L25" s="4">
        <v>1.28</v>
      </c>
      <c r="M25" s="8">
        <v>4</v>
      </c>
      <c r="N25" s="4">
        <v>1.01</v>
      </c>
      <c r="O25" s="4">
        <v>1.99</v>
      </c>
      <c r="P25" s="8">
        <v>14</v>
      </c>
      <c r="Q25" t="s">
        <v>112</v>
      </c>
      <c r="R25" t="s">
        <v>110</v>
      </c>
    </row>
    <row r="26" spans="1:18" ht="15.75" customHeight="1" x14ac:dyDescent="0.15">
      <c r="A26" t="s">
        <v>140</v>
      </c>
      <c r="B26" t="s">
        <v>140</v>
      </c>
      <c r="C26" s="4">
        <v>94.25</v>
      </c>
      <c r="D26" s="8">
        <v>103</v>
      </c>
      <c r="E26" s="3">
        <v>93</v>
      </c>
      <c r="F26" s="3">
        <v>10.7</v>
      </c>
      <c r="G26" s="8">
        <v>57</v>
      </c>
      <c r="H26" s="4">
        <v>1.75</v>
      </c>
      <c r="I26" s="8">
        <v>40</v>
      </c>
      <c r="J26" s="4">
        <v>1.71</v>
      </c>
      <c r="K26" s="8">
        <v>37</v>
      </c>
      <c r="L26" s="4">
        <v>1.6</v>
      </c>
      <c r="M26" s="8">
        <v>4</v>
      </c>
      <c r="N26" s="4">
        <v>1.06</v>
      </c>
      <c r="O26" s="4">
        <v>2.82</v>
      </c>
      <c r="P26" s="8">
        <v>20</v>
      </c>
      <c r="Q26" t="s">
        <v>114</v>
      </c>
      <c r="R26" t="s">
        <v>110</v>
      </c>
    </row>
    <row r="27" spans="1:18" ht="15.75" customHeight="1" x14ac:dyDescent="0.15">
      <c r="A27" t="s">
        <v>141</v>
      </c>
      <c r="B27" t="s">
        <v>141</v>
      </c>
      <c r="C27" s="4">
        <v>92.07</v>
      </c>
      <c r="D27" s="8">
        <v>100</v>
      </c>
      <c r="E27" s="3">
        <v>93.4</v>
      </c>
      <c r="F27" s="3">
        <v>11.3</v>
      </c>
      <c r="G27" s="8">
        <v>56</v>
      </c>
      <c r="H27" s="4">
        <v>2.2000000000000002</v>
      </c>
      <c r="I27" s="8">
        <v>39</v>
      </c>
      <c r="J27" s="4">
        <v>2.38</v>
      </c>
      <c r="K27" s="8">
        <v>37</v>
      </c>
      <c r="L27" s="4">
        <v>2.14</v>
      </c>
      <c r="M27" s="8">
        <v>4</v>
      </c>
      <c r="N27" s="4">
        <v>1.23</v>
      </c>
      <c r="O27" s="4">
        <v>3.89</v>
      </c>
      <c r="P27" s="8">
        <v>12</v>
      </c>
      <c r="Q27" t="s">
        <v>116</v>
      </c>
      <c r="R27" t="s">
        <v>110</v>
      </c>
    </row>
    <row r="28" spans="1:18" ht="15.75" customHeight="1" x14ac:dyDescent="0.15">
      <c r="A28" t="s">
        <v>142</v>
      </c>
      <c r="B28" t="s">
        <v>142</v>
      </c>
      <c r="C28" s="4">
        <v>95.16</v>
      </c>
      <c r="D28" s="8">
        <v>61</v>
      </c>
      <c r="E28" s="3">
        <v>95.6</v>
      </c>
      <c r="F28" s="3">
        <v>10.1</v>
      </c>
      <c r="G28" s="8">
        <v>44</v>
      </c>
      <c r="H28" s="4">
        <v>3.89</v>
      </c>
      <c r="I28" s="8">
        <v>39</v>
      </c>
      <c r="J28" s="4">
        <v>4.05</v>
      </c>
      <c r="K28" s="8">
        <v>36</v>
      </c>
      <c r="L28" s="4">
        <v>2.99</v>
      </c>
      <c r="M28" s="8">
        <v>1</v>
      </c>
      <c r="N28" s="4">
        <v>1.44</v>
      </c>
      <c r="O28" s="4">
        <v>6.84</v>
      </c>
      <c r="P28" s="8">
        <v>12</v>
      </c>
      <c r="Q28" t="s">
        <v>118</v>
      </c>
      <c r="R28" t="s">
        <v>110</v>
      </c>
    </row>
    <row r="29" spans="1:18" ht="15.75" customHeight="1" x14ac:dyDescent="0.15">
      <c r="A29" t="s">
        <v>143</v>
      </c>
      <c r="B29" t="s">
        <v>143</v>
      </c>
      <c r="C29" s="4">
        <v>59.88</v>
      </c>
      <c r="D29" s="8">
        <v>102</v>
      </c>
      <c r="E29" s="3">
        <v>60.9</v>
      </c>
      <c r="F29" s="3">
        <v>9.1999999999999993</v>
      </c>
      <c r="G29" s="8">
        <v>57</v>
      </c>
      <c r="H29" s="4">
        <v>1.71</v>
      </c>
      <c r="I29" s="8">
        <v>39</v>
      </c>
      <c r="J29" s="4">
        <v>2.0699999999999998</v>
      </c>
      <c r="K29" s="8">
        <v>37</v>
      </c>
      <c r="L29" s="4">
        <v>1.84</v>
      </c>
      <c r="M29" s="8">
        <v>4</v>
      </c>
      <c r="N29" s="4">
        <v>1.02</v>
      </c>
      <c r="O29" s="4">
        <v>5.82</v>
      </c>
      <c r="P29" s="8">
        <v>12</v>
      </c>
      <c r="Q29" t="s">
        <v>144</v>
      </c>
      <c r="R29" t="s">
        <v>110</v>
      </c>
    </row>
    <row r="30" spans="1:18" ht="15.75" customHeight="1" x14ac:dyDescent="0.15">
      <c r="A30" t="s">
        <v>145</v>
      </c>
      <c r="B30" t="s">
        <v>145</v>
      </c>
      <c r="C30" s="4">
        <v>61.38</v>
      </c>
      <c r="D30" s="8">
        <v>102</v>
      </c>
      <c r="E30" s="3">
        <v>61.2</v>
      </c>
      <c r="F30" s="3">
        <v>8.6</v>
      </c>
      <c r="G30" s="8">
        <v>57</v>
      </c>
      <c r="H30" s="4">
        <v>1.45</v>
      </c>
      <c r="I30" s="8">
        <v>39</v>
      </c>
      <c r="J30" s="4">
        <v>1.64</v>
      </c>
      <c r="K30" s="8">
        <v>37</v>
      </c>
      <c r="L30" s="4">
        <v>1.34</v>
      </c>
      <c r="M30" s="8">
        <v>4</v>
      </c>
      <c r="N30" s="4">
        <v>1.01</v>
      </c>
      <c r="O30" s="4">
        <v>2.0699999999999998</v>
      </c>
      <c r="P30" s="8">
        <v>20</v>
      </c>
      <c r="Q30" t="s">
        <v>112</v>
      </c>
      <c r="R30" t="s">
        <v>110</v>
      </c>
    </row>
    <row r="31" spans="1:18" ht="15.75" customHeight="1" x14ac:dyDescent="0.15">
      <c r="A31" t="s">
        <v>146</v>
      </c>
      <c r="B31" t="s">
        <v>146</v>
      </c>
      <c r="C31" s="4">
        <v>60.89</v>
      </c>
      <c r="D31" s="8">
        <v>103</v>
      </c>
      <c r="E31" s="3">
        <v>61.4</v>
      </c>
      <c r="F31" s="3">
        <v>9.1</v>
      </c>
      <c r="G31" s="8">
        <v>57</v>
      </c>
      <c r="H31" s="4">
        <v>1.69</v>
      </c>
      <c r="I31" s="8">
        <v>39</v>
      </c>
      <c r="J31" s="4">
        <v>2.0099999999999998</v>
      </c>
      <c r="K31" s="8">
        <v>37</v>
      </c>
      <c r="L31" s="4">
        <v>1.54</v>
      </c>
      <c r="M31" s="8">
        <v>4</v>
      </c>
      <c r="N31" s="4">
        <v>1.02</v>
      </c>
      <c r="O31" s="4">
        <v>3.21</v>
      </c>
      <c r="P31" s="8">
        <v>12</v>
      </c>
      <c r="Q31" t="s">
        <v>114</v>
      </c>
      <c r="R31" t="s">
        <v>110</v>
      </c>
    </row>
    <row r="32" spans="1:18" ht="15.75" customHeight="1" x14ac:dyDescent="0.15">
      <c r="A32" t="s">
        <v>147</v>
      </c>
      <c r="B32" t="s">
        <v>147</v>
      </c>
      <c r="C32" s="4">
        <v>60.69</v>
      </c>
      <c r="D32" s="8">
        <v>101</v>
      </c>
      <c r="E32" s="3">
        <v>61.5</v>
      </c>
      <c r="F32" s="3">
        <v>9</v>
      </c>
      <c r="G32" s="8">
        <v>56</v>
      </c>
      <c r="H32" s="4">
        <v>2.39</v>
      </c>
      <c r="I32" s="8">
        <v>39</v>
      </c>
      <c r="J32" s="4">
        <v>2.99</v>
      </c>
      <c r="K32" s="8">
        <v>36</v>
      </c>
      <c r="L32" s="4">
        <v>2.2000000000000002</v>
      </c>
      <c r="M32" s="8">
        <v>4</v>
      </c>
      <c r="N32" s="4">
        <v>1.1399999999999999</v>
      </c>
      <c r="O32" s="4">
        <v>4.93</v>
      </c>
      <c r="P32" s="8">
        <v>12</v>
      </c>
      <c r="Q32" t="s">
        <v>116</v>
      </c>
      <c r="R32" t="s">
        <v>110</v>
      </c>
    </row>
    <row r="33" spans="1:18" ht="15.75" customHeight="1" x14ac:dyDescent="0.15">
      <c r="A33" t="s">
        <v>148</v>
      </c>
      <c r="B33" t="s">
        <v>148</v>
      </c>
      <c r="C33" s="4">
        <v>59.91</v>
      </c>
      <c r="D33" s="8">
        <v>100</v>
      </c>
      <c r="E33" s="3">
        <v>61.4</v>
      </c>
      <c r="F33" s="3">
        <v>9.9</v>
      </c>
      <c r="G33" s="8">
        <v>56</v>
      </c>
      <c r="H33" s="4">
        <v>2.46</v>
      </c>
      <c r="I33" s="8">
        <v>38</v>
      </c>
      <c r="J33" s="4">
        <v>3.52</v>
      </c>
      <c r="K33" s="8">
        <v>37</v>
      </c>
      <c r="L33" s="4">
        <v>2.76</v>
      </c>
      <c r="M33" s="8">
        <v>3</v>
      </c>
      <c r="N33" s="4">
        <v>1.29</v>
      </c>
      <c r="O33" s="4">
        <v>5.62</v>
      </c>
      <c r="P33" s="8">
        <v>12</v>
      </c>
      <c r="Q33" t="s">
        <v>118</v>
      </c>
      <c r="R33" t="s">
        <v>110</v>
      </c>
    </row>
    <row r="34" spans="1:18" ht="15.75" customHeight="1" x14ac:dyDescent="0.15">
      <c r="A34" t="s">
        <v>149</v>
      </c>
      <c r="B34" t="s">
        <v>149</v>
      </c>
      <c r="C34" s="4">
        <v>129.9</v>
      </c>
      <c r="D34" s="8">
        <v>68</v>
      </c>
      <c r="E34" s="3">
        <v>127.8</v>
      </c>
      <c r="F34" s="3">
        <v>19.899999999999999</v>
      </c>
      <c r="G34" s="8">
        <v>41</v>
      </c>
      <c r="H34" s="4">
        <v>1.6</v>
      </c>
      <c r="I34" s="8">
        <v>40</v>
      </c>
      <c r="J34" s="4">
        <v>2.04</v>
      </c>
      <c r="K34" s="8">
        <v>37</v>
      </c>
      <c r="L34" s="4">
        <v>1.5</v>
      </c>
      <c r="M34" s="8">
        <v>4</v>
      </c>
      <c r="N34" s="4">
        <v>1.03</v>
      </c>
      <c r="O34" s="4">
        <v>2.71</v>
      </c>
      <c r="P34" s="8">
        <v>20</v>
      </c>
      <c r="Q34" t="s">
        <v>144</v>
      </c>
      <c r="R34" t="s">
        <v>110</v>
      </c>
    </row>
    <row r="35" spans="1:18" ht="15.75" customHeight="1" x14ac:dyDescent="0.15">
      <c r="A35" t="s">
        <v>150</v>
      </c>
      <c r="B35" t="s">
        <v>150</v>
      </c>
      <c r="C35" s="4">
        <v>131.85</v>
      </c>
      <c r="D35" s="8">
        <v>68</v>
      </c>
      <c r="E35" s="3">
        <v>130</v>
      </c>
      <c r="F35" s="3">
        <v>21.1</v>
      </c>
      <c r="G35" s="8">
        <v>41</v>
      </c>
      <c r="H35" s="4">
        <v>1.43</v>
      </c>
      <c r="I35" s="8">
        <v>40</v>
      </c>
      <c r="J35" s="4">
        <v>1.73</v>
      </c>
      <c r="K35" s="8">
        <v>37</v>
      </c>
      <c r="L35" s="4">
        <v>1.36</v>
      </c>
      <c r="M35" s="8">
        <v>4</v>
      </c>
      <c r="N35" s="4">
        <v>1.02</v>
      </c>
      <c r="O35" s="4">
        <v>2.06</v>
      </c>
      <c r="P35" s="8">
        <v>20</v>
      </c>
      <c r="Q35" t="s">
        <v>112</v>
      </c>
      <c r="R35" t="s">
        <v>110</v>
      </c>
    </row>
    <row r="36" spans="1:18" ht="15.75" customHeight="1" x14ac:dyDescent="0.15">
      <c r="A36" t="s">
        <v>151</v>
      </c>
      <c r="B36" t="s">
        <v>151</v>
      </c>
      <c r="C36" s="4">
        <v>134.91</v>
      </c>
      <c r="D36" s="8">
        <v>68</v>
      </c>
      <c r="E36" s="3">
        <v>135.1</v>
      </c>
      <c r="F36" s="3">
        <v>29.1</v>
      </c>
      <c r="G36" s="8">
        <v>41</v>
      </c>
      <c r="H36" s="4">
        <v>1.58</v>
      </c>
      <c r="I36" s="8">
        <v>40</v>
      </c>
      <c r="J36" s="4">
        <v>1.97</v>
      </c>
      <c r="K36" s="8">
        <v>37</v>
      </c>
      <c r="L36" s="4">
        <v>1.47</v>
      </c>
      <c r="M36" s="8">
        <v>4</v>
      </c>
      <c r="N36" s="4">
        <v>1.03</v>
      </c>
      <c r="O36" s="4">
        <v>2.7</v>
      </c>
      <c r="P36" s="8">
        <v>20</v>
      </c>
      <c r="Q36" t="s">
        <v>114</v>
      </c>
      <c r="R36" t="s">
        <v>110</v>
      </c>
    </row>
    <row r="37" spans="1:18" ht="15.75" customHeight="1" x14ac:dyDescent="0.15">
      <c r="A37" t="s">
        <v>152</v>
      </c>
      <c r="B37" t="s">
        <v>152</v>
      </c>
      <c r="C37" s="4">
        <v>133.12</v>
      </c>
      <c r="D37" s="8">
        <v>66</v>
      </c>
      <c r="E37" s="3">
        <v>131.4</v>
      </c>
      <c r="F37" s="3">
        <v>17.8</v>
      </c>
      <c r="G37" s="8">
        <v>41</v>
      </c>
      <c r="H37" s="4">
        <v>2.1</v>
      </c>
      <c r="I37" s="8">
        <v>40</v>
      </c>
      <c r="J37" s="4">
        <v>2.38</v>
      </c>
      <c r="K37" s="8">
        <v>37</v>
      </c>
      <c r="L37" s="4">
        <v>2.1</v>
      </c>
      <c r="M37" s="8">
        <v>4</v>
      </c>
      <c r="N37" s="4">
        <v>1.1000000000000001</v>
      </c>
      <c r="O37" s="4">
        <v>4.03</v>
      </c>
      <c r="P37" s="8">
        <v>20</v>
      </c>
      <c r="Q37" t="s">
        <v>116</v>
      </c>
      <c r="R37" t="s">
        <v>110</v>
      </c>
    </row>
    <row r="38" spans="1:18" ht="15.75" customHeight="1" x14ac:dyDescent="0.15">
      <c r="A38" t="s">
        <v>153</v>
      </c>
      <c r="B38" t="s">
        <v>153</v>
      </c>
      <c r="C38" s="4">
        <v>130.19999999999999</v>
      </c>
      <c r="D38" s="8">
        <v>66</v>
      </c>
      <c r="E38" s="3">
        <v>130.1</v>
      </c>
      <c r="F38" s="3">
        <v>20.3</v>
      </c>
      <c r="G38" s="8">
        <v>41</v>
      </c>
      <c r="H38" s="4">
        <v>2.58</v>
      </c>
      <c r="I38" s="8">
        <v>39</v>
      </c>
      <c r="J38" s="4">
        <v>3.43</v>
      </c>
      <c r="K38" s="8">
        <v>37</v>
      </c>
      <c r="L38" s="4">
        <v>2.29</v>
      </c>
      <c r="M38" s="8">
        <v>4</v>
      </c>
      <c r="N38" s="4">
        <v>1.22</v>
      </c>
      <c r="O38" s="4">
        <v>5.31</v>
      </c>
      <c r="P38" s="8">
        <v>13</v>
      </c>
      <c r="Q38" t="s">
        <v>118</v>
      </c>
      <c r="R38" t="s">
        <v>110</v>
      </c>
    </row>
    <row r="39" spans="1:18" ht="15.75" customHeight="1" x14ac:dyDescent="0.15">
      <c r="A39" t="s">
        <v>154</v>
      </c>
      <c r="B39" t="s">
        <v>154</v>
      </c>
      <c r="C39" s="4">
        <v>52.91</v>
      </c>
      <c r="D39" s="8">
        <v>66</v>
      </c>
      <c r="E39" s="3">
        <v>53.9</v>
      </c>
      <c r="F39" s="3">
        <v>6.4</v>
      </c>
      <c r="G39" s="8">
        <v>40</v>
      </c>
      <c r="H39" s="4">
        <v>1.44</v>
      </c>
      <c r="I39" s="8">
        <v>40</v>
      </c>
      <c r="J39" s="4">
        <v>1.8</v>
      </c>
      <c r="K39" s="8">
        <v>37</v>
      </c>
      <c r="L39" s="4">
        <v>1.35</v>
      </c>
      <c r="M39" s="8">
        <v>4</v>
      </c>
      <c r="N39" s="4">
        <v>1.02</v>
      </c>
      <c r="O39" s="4">
        <v>2.5099999999999998</v>
      </c>
      <c r="P39" s="8">
        <v>13</v>
      </c>
      <c r="Q39" t="s">
        <v>144</v>
      </c>
      <c r="R39" t="s">
        <v>110</v>
      </c>
    </row>
    <row r="40" spans="1:18" ht="15.75" customHeight="1" x14ac:dyDescent="0.15">
      <c r="A40" t="s">
        <v>155</v>
      </c>
      <c r="B40" t="s">
        <v>155</v>
      </c>
      <c r="C40" s="4">
        <v>53.57</v>
      </c>
      <c r="D40" s="8">
        <v>68</v>
      </c>
      <c r="E40" s="3">
        <v>53.2</v>
      </c>
      <c r="F40" s="3">
        <v>8.1999999999999993</v>
      </c>
      <c r="G40" s="8">
        <v>41</v>
      </c>
      <c r="H40" s="4">
        <v>1.36</v>
      </c>
      <c r="I40" s="8">
        <v>40</v>
      </c>
      <c r="J40" s="4">
        <v>1.63</v>
      </c>
      <c r="K40" s="8">
        <v>37</v>
      </c>
      <c r="L40" s="4">
        <v>1.27</v>
      </c>
      <c r="M40" s="8">
        <v>4</v>
      </c>
      <c r="N40" s="4">
        <v>1.01</v>
      </c>
      <c r="O40" s="4">
        <v>2.06</v>
      </c>
      <c r="P40" s="8">
        <v>20</v>
      </c>
      <c r="Q40" t="s">
        <v>112</v>
      </c>
      <c r="R40" t="s">
        <v>110</v>
      </c>
    </row>
    <row r="41" spans="1:18" ht="15.75" customHeight="1" x14ac:dyDescent="0.15">
      <c r="A41" t="s">
        <v>156</v>
      </c>
      <c r="B41" t="s">
        <v>156</v>
      </c>
      <c r="C41" s="4">
        <v>53.64</v>
      </c>
      <c r="D41" s="8">
        <v>63</v>
      </c>
      <c r="E41" s="3">
        <v>54.4</v>
      </c>
      <c r="F41" s="3">
        <v>6.5</v>
      </c>
      <c r="G41" s="8">
        <v>40</v>
      </c>
      <c r="H41" s="4">
        <v>1.47</v>
      </c>
      <c r="I41" s="8">
        <v>39</v>
      </c>
      <c r="J41" s="4">
        <v>1.76</v>
      </c>
      <c r="K41" s="8">
        <v>37</v>
      </c>
      <c r="L41" s="4">
        <v>1.34</v>
      </c>
      <c r="M41" s="8">
        <v>4</v>
      </c>
      <c r="N41" s="4">
        <v>1.02</v>
      </c>
      <c r="O41" s="4">
        <v>2.61</v>
      </c>
      <c r="P41" s="8">
        <v>13</v>
      </c>
      <c r="Q41" t="s">
        <v>114</v>
      </c>
      <c r="R41" t="s">
        <v>110</v>
      </c>
    </row>
    <row r="42" spans="1:18" ht="15.75" customHeight="1" x14ac:dyDescent="0.15">
      <c r="A42" t="s">
        <v>157</v>
      </c>
      <c r="B42" t="s">
        <v>157</v>
      </c>
      <c r="C42" s="4">
        <v>53.63</v>
      </c>
      <c r="D42" s="8">
        <v>63</v>
      </c>
      <c r="E42" s="3">
        <v>53.5</v>
      </c>
      <c r="F42" s="3">
        <v>6.6</v>
      </c>
      <c r="G42" s="8">
        <v>39</v>
      </c>
      <c r="H42" s="4">
        <v>1.64</v>
      </c>
      <c r="I42" s="8">
        <v>39</v>
      </c>
      <c r="J42" s="4">
        <v>2.04</v>
      </c>
      <c r="K42" s="8">
        <v>37</v>
      </c>
      <c r="L42" s="4">
        <v>1.52</v>
      </c>
      <c r="M42" s="8">
        <v>4</v>
      </c>
      <c r="N42" s="4">
        <v>1.06</v>
      </c>
      <c r="O42" s="4">
        <v>3.19</v>
      </c>
      <c r="P42" s="8">
        <v>12</v>
      </c>
      <c r="Q42" t="s">
        <v>116</v>
      </c>
      <c r="R42" t="s">
        <v>110</v>
      </c>
    </row>
    <row r="43" spans="1:18" ht="15.75" customHeight="1" x14ac:dyDescent="0.15">
      <c r="A43" t="s">
        <v>158</v>
      </c>
      <c r="B43" t="s">
        <v>158</v>
      </c>
      <c r="C43" s="4">
        <v>55.21</v>
      </c>
      <c r="D43" s="8">
        <v>71</v>
      </c>
      <c r="E43" s="3">
        <v>54.7</v>
      </c>
      <c r="F43" s="3">
        <v>8.5</v>
      </c>
      <c r="G43" s="8">
        <v>40</v>
      </c>
      <c r="H43" s="4">
        <v>1.91</v>
      </c>
      <c r="I43" s="8">
        <v>39</v>
      </c>
      <c r="J43" s="4">
        <v>2.13</v>
      </c>
      <c r="K43" s="8">
        <v>37</v>
      </c>
      <c r="L43" s="4">
        <v>2.0099999999999998</v>
      </c>
      <c r="M43" s="8">
        <v>4</v>
      </c>
      <c r="N43" s="4">
        <v>1.1499999999999999</v>
      </c>
      <c r="O43" s="4">
        <v>3.66</v>
      </c>
      <c r="P43" s="8">
        <v>12</v>
      </c>
      <c r="Q43" t="s">
        <v>118</v>
      </c>
      <c r="R43" t="s">
        <v>110</v>
      </c>
    </row>
    <row r="44" spans="1:18" ht="15.75" customHeight="1" x14ac:dyDescent="0.15">
      <c r="A44" t="s">
        <v>159</v>
      </c>
      <c r="B44" t="s">
        <v>158</v>
      </c>
      <c r="C44" s="4">
        <v>55.21</v>
      </c>
      <c r="D44" s="8">
        <v>71</v>
      </c>
      <c r="E44" s="3">
        <v>54.7</v>
      </c>
      <c r="F44" s="3">
        <v>8.5</v>
      </c>
      <c r="G44" s="8">
        <v>40</v>
      </c>
      <c r="H44" s="4">
        <v>1.91</v>
      </c>
      <c r="I44" s="8">
        <v>39</v>
      </c>
      <c r="J44" s="4">
        <v>2.13</v>
      </c>
      <c r="K44" s="8">
        <v>37</v>
      </c>
      <c r="L44" s="4">
        <v>2.0099999999999998</v>
      </c>
      <c r="M44" s="8">
        <v>4</v>
      </c>
      <c r="N44" s="4">
        <v>1.1499999999999999</v>
      </c>
      <c r="O44" s="4">
        <v>3.66</v>
      </c>
      <c r="P44" s="8">
        <v>12</v>
      </c>
      <c r="Q44" t="s">
        <v>160</v>
      </c>
      <c r="R44" t="s">
        <v>110</v>
      </c>
    </row>
    <row r="45" spans="1:18" ht="15.75" customHeight="1" x14ac:dyDescent="0.15">
      <c r="A45" t="s">
        <v>161</v>
      </c>
      <c r="B45" t="s">
        <v>161</v>
      </c>
      <c r="C45" s="4">
        <v>96.85</v>
      </c>
      <c r="D45" s="8">
        <v>68</v>
      </c>
      <c r="E45" s="3">
        <v>94.5</v>
      </c>
      <c r="F45" s="3">
        <v>11.9</v>
      </c>
      <c r="G45" s="8">
        <v>40</v>
      </c>
      <c r="H45" s="4">
        <v>1.38</v>
      </c>
      <c r="I45" s="8">
        <v>40</v>
      </c>
      <c r="J45" s="4">
        <v>1.6</v>
      </c>
      <c r="K45" s="8">
        <v>37</v>
      </c>
      <c r="L45" s="4">
        <v>1.35</v>
      </c>
      <c r="M45" s="8">
        <v>4</v>
      </c>
      <c r="N45" s="4">
        <v>1.01</v>
      </c>
      <c r="O45" s="4">
        <v>2.2799999999999998</v>
      </c>
      <c r="P45" s="8">
        <v>20</v>
      </c>
      <c r="Q45" t="s">
        <v>144</v>
      </c>
      <c r="R45" t="s">
        <v>110</v>
      </c>
    </row>
    <row r="46" spans="1:18" ht="15.75" customHeight="1" x14ac:dyDescent="0.15">
      <c r="A46" t="s">
        <v>162</v>
      </c>
      <c r="B46" t="s">
        <v>162</v>
      </c>
      <c r="C46" s="4">
        <v>93.61</v>
      </c>
      <c r="D46" s="8">
        <v>67</v>
      </c>
      <c r="E46" s="3">
        <v>93.1</v>
      </c>
      <c r="F46" s="3">
        <v>9.6999999999999993</v>
      </c>
      <c r="G46" s="8">
        <v>39</v>
      </c>
      <c r="H46" s="4">
        <v>1.36</v>
      </c>
      <c r="I46" s="8">
        <v>40</v>
      </c>
      <c r="J46" s="4">
        <v>1.54</v>
      </c>
      <c r="K46" s="8">
        <v>37</v>
      </c>
      <c r="L46" s="4">
        <v>1.22</v>
      </c>
      <c r="M46" s="8">
        <v>4</v>
      </c>
      <c r="N46" s="4">
        <v>1.01</v>
      </c>
      <c r="O46" s="4">
        <v>2.41</v>
      </c>
      <c r="P46" s="8">
        <v>20</v>
      </c>
      <c r="Q46" t="s">
        <v>112</v>
      </c>
      <c r="R46" t="s">
        <v>110</v>
      </c>
    </row>
    <row r="47" spans="1:18" ht="15.75" customHeight="1" x14ac:dyDescent="0.15">
      <c r="A47" t="s">
        <v>163</v>
      </c>
      <c r="B47" t="s">
        <v>163</v>
      </c>
      <c r="C47" s="4">
        <v>94.86</v>
      </c>
      <c r="D47" s="8">
        <v>67</v>
      </c>
      <c r="E47" s="3">
        <v>93.5</v>
      </c>
      <c r="F47" s="3">
        <v>9.1</v>
      </c>
      <c r="G47" s="8">
        <v>40</v>
      </c>
      <c r="H47" s="4">
        <v>1.37</v>
      </c>
      <c r="I47" s="8">
        <v>41</v>
      </c>
      <c r="J47" s="4">
        <v>1.63</v>
      </c>
      <c r="K47" s="8">
        <v>37</v>
      </c>
      <c r="L47" s="4">
        <v>1.32</v>
      </c>
      <c r="M47" s="8">
        <v>4</v>
      </c>
      <c r="N47" s="4">
        <v>1.01</v>
      </c>
      <c r="O47" s="4">
        <v>2.48</v>
      </c>
      <c r="P47" s="8">
        <v>20</v>
      </c>
      <c r="Q47" t="s">
        <v>114</v>
      </c>
      <c r="R47" t="s">
        <v>110</v>
      </c>
    </row>
    <row r="48" spans="1:18" ht="15.75" customHeight="1" x14ac:dyDescent="0.15">
      <c r="A48" t="s">
        <v>164</v>
      </c>
      <c r="B48" t="s">
        <v>164</v>
      </c>
      <c r="C48" s="4">
        <v>95.52</v>
      </c>
      <c r="D48" s="8">
        <v>66</v>
      </c>
      <c r="E48" s="3">
        <v>94</v>
      </c>
      <c r="F48" s="3">
        <v>9.6999999999999993</v>
      </c>
      <c r="G48" s="8">
        <v>40</v>
      </c>
      <c r="H48" s="4">
        <v>1.45</v>
      </c>
      <c r="I48" s="8">
        <v>39</v>
      </c>
      <c r="J48" s="4">
        <v>1.66</v>
      </c>
      <c r="K48" s="8">
        <v>38</v>
      </c>
      <c r="L48" s="4">
        <v>1.34</v>
      </c>
      <c r="M48" s="8">
        <v>4</v>
      </c>
      <c r="N48" s="4">
        <v>1.02</v>
      </c>
      <c r="O48" s="4">
        <v>2.8</v>
      </c>
      <c r="P48" s="8">
        <v>20</v>
      </c>
      <c r="Q48" t="s">
        <v>116</v>
      </c>
      <c r="R48" t="s">
        <v>110</v>
      </c>
    </row>
    <row r="49" spans="1:18" ht="15.75" customHeight="1" x14ac:dyDescent="0.15">
      <c r="A49" t="s">
        <v>165</v>
      </c>
      <c r="B49" t="s">
        <v>165</v>
      </c>
      <c r="C49" s="4">
        <v>95.22</v>
      </c>
      <c r="D49" s="8">
        <v>66</v>
      </c>
      <c r="E49" s="3">
        <v>94.7</v>
      </c>
      <c r="F49" s="3">
        <v>8.4</v>
      </c>
      <c r="G49" s="8">
        <v>40</v>
      </c>
      <c r="H49" s="4">
        <v>1.68</v>
      </c>
      <c r="I49" s="8">
        <v>39</v>
      </c>
      <c r="J49" s="4">
        <v>1.94</v>
      </c>
      <c r="K49" s="8">
        <v>36</v>
      </c>
      <c r="L49" s="4">
        <v>1.57</v>
      </c>
      <c r="M49" s="8">
        <v>3</v>
      </c>
      <c r="N49" s="4">
        <v>1.08</v>
      </c>
      <c r="O49" s="4">
        <v>3.88</v>
      </c>
      <c r="P49" s="8">
        <v>20</v>
      </c>
      <c r="Q49" t="s">
        <v>118</v>
      </c>
      <c r="R49" t="s">
        <v>110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0"/>
  <sheetViews>
    <sheetView zoomScaleNormal="100" workbookViewId="0"/>
  </sheetViews>
  <sheetFormatPr baseColWidth="10" defaultColWidth="14.5" defaultRowHeight="15" customHeight="1" x14ac:dyDescent="0.15"/>
  <cols>
    <col min="1" max="1" width="46" customWidth="1"/>
    <col min="2" max="7" width="18" customWidth="1"/>
    <col min="8" max="8" width="8.6640625" customWidth="1"/>
  </cols>
  <sheetData>
    <row r="1" spans="1:7" ht="15" customHeight="1" x14ac:dyDescent="0.15">
      <c r="A1" s="1" t="s">
        <v>37</v>
      </c>
    </row>
    <row r="3" spans="1:7" ht="15" customHeight="1" x14ac:dyDescent="0.15">
      <c r="A3" s="1" t="s">
        <v>38</v>
      </c>
    </row>
    <row r="4" spans="1:7" ht="15" customHeight="1" x14ac:dyDescent="0.15">
      <c r="A4" t="s">
        <v>39</v>
      </c>
      <c r="B4" s="6">
        <v>2815000</v>
      </c>
      <c r="D4" s="14" t="s">
        <v>340</v>
      </c>
    </row>
    <row r="5" spans="1:7" ht="15" customHeight="1" x14ac:dyDescent="0.15">
      <c r="A5" t="s">
        <v>40</v>
      </c>
      <c r="B5" s="6">
        <v>15148700</v>
      </c>
      <c r="D5" s="14" t="s">
        <v>339</v>
      </c>
    </row>
    <row r="6" spans="1:7" ht="15" customHeight="1" x14ac:dyDescent="0.15">
      <c r="A6" t="s">
        <v>41</v>
      </c>
      <c r="B6" s="6">
        <v>43586600</v>
      </c>
      <c r="D6" s="14" t="s">
        <v>338</v>
      </c>
    </row>
    <row r="7" spans="1:7" ht="15" customHeight="1" x14ac:dyDescent="0.15">
      <c r="A7" t="s">
        <v>42</v>
      </c>
      <c r="B7" s="6">
        <v>2898600</v>
      </c>
      <c r="D7" s="14" t="s">
        <v>339</v>
      </c>
    </row>
    <row r="8" spans="1:7" ht="15" customHeight="1" x14ac:dyDescent="0.15">
      <c r="A8" t="s">
        <v>43</v>
      </c>
      <c r="B8" s="6">
        <v>31713900</v>
      </c>
      <c r="D8" s="14" t="s">
        <v>341</v>
      </c>
    </row>
    <row r="9" spans="1:7" ht="15" customHeight="1" x14ac:dyDescent="0.15">
      <c r="A9" t="s">
        <v>44</v>
      </c>
      <c r="B9" s="6">
        <v>65</v>
      </c>
      <c r="D9" s="14" t="s">
        <v>342</v>
      </c>
    </row>
    <row r="10" spans="1:7" ht="15" customHeight="1" x14ac:dyDescent="0.15">
      <c r="A10" t="s">
        <v>45</v>
      </c>
      <c r="B10" s="3">
        <f>B4/B6*1000</f>
        <v>64.584069415829646</v>
      </c>
      <c r="D10" s="14" t="s">
        <v>348</v>
      </c>
    </row>
    <row r="11" spans="1:7" ht="15" customHeight="1" x14ac:dyDescent="0.15">
      <c r="A11" t="s">
        <v>46</v>
      </c>
      <c r="B11" s="3">
        <f>B5/B6*1000</f>
        <v>347.55406478137775</v>
      </c>
      <c r="D11" t="s">
        <v>47</v>
      </c>
    </row>
    <row r="12" spans="1:7" ht="15" customHeight="1" x14ac:dyDescent="0.15">
      <c r="A12" t="s">
        <v>48</v>
      </c>
      <c r="B12" s="3">
        <f>B7/B8*1000</f>
        <v>91.398408899567698</v>
      </c>
      <c r="D12" t="s">
        <v>49</v>
      </c>
    </row>
    <row r="14" spans="1:7" ht="15" customHeight="1" x14ac:dyDescent="0.15">
      <c r="A14" s="1" t="s">
        <v>50</v>
      </c>
    </row>
    <row r="15" spans="1:7" ht="15" customHeight="1" x14ac:dyDescent="0.15">
      <c r="A15" s="1" t="s">
        <v>51</v>
      </c>
      <c r="B15" s="1" t="s">
        <v>52</v>
      </c>
      <c r="C15" s="1" t="s">
        <v>53</v>
      </c>
      <c r="D15" s="1" t="s">
        <v>54</v>
      </c>
      <c r="E15" s="1" t="s">
        <v>55</v>
      </c>
      <c r="F15" s="1" t="s">
        <v>56</v>
      </c>
      <c r="G15" s="1" t="s">
        <v>57</v>
      </c>
    </row>
    <row r="16" spans="1:7" ht="15" customHeight="1" x14ac:dyDescent="0.15">
      <c r="A16" t="s">
        <v>58</v>
      </c>
      <c r="B16" s="7">
        <v>0.23400000000000001</v>
      </c>
      <c r="C16" s="8">
        <v>447</v>
      </c>
      <c r="D16" s="3">
        <f>B16*C16</f>
        <v>104.598</v>
      </c>
      <c r="E16" s="3">
        <v>73</v>
      </c>
      <c r="F16" s="3">
        <f>B16*E16</f>
        <v>17.082000000000001</v>
      </c>
      <c r="G16" s="14" t="s">
        <v>345</v>
      </c>
    </row>
    <row r="17" spans="1:7" ht="15" customHeight="1" x14ac:dyDescent="0.15">
      <c r="A17" t="s">
        <v>59</v>
      </c>
      <c r="B17" s="7">
        <v>0.39300000000000002</v>
      </c>
      <c r="C17" s="8">
        <v>319</v>
      </c>
      <c r="D17" s="3">
        <f>B17*C17</f>
        <v>125.367</v>
      </c>
      <c r="E17" s="3">
        <v>46</v>
      </c>
      <c r="F17" s="3">
        <f>B17*E17</f>
        <v>18.077999999999999</v>
      </c>
      <c r="G17" s="14" t="s">
        <v>344</v>
      </c>
    </row>
    <row r="18" spans="1:7" ht="15" customHeight="1" x14ac:dyDescent="0.15">
      <c r="A18" t="s">
        <v>60</v>
      </c>
      <c r="B18" s="7">
        <v>0.11700000000000001</v>
      </c>
      <c r="C18" s="8">
        <v>319</v>
      </c>
      <c r="D18" s="3">
        <f>B18*C18</f>
        <v>37.323</v>
      </c>
      <c r="E18" s="3">
        <v>0</v>
      </c>
      <c r="F18" s="3">
        <f>B18*E18</f>
        <v>0</v>
      </c>
      <c r="G18" t="s">
        <v>61</v>
      </c>
    </row>
    <row r="19" spans="1:7" ht="15" customHeight="1" x14ac:dyDescent="0.15">
      <c r="A19" t="s">
        <v>62</v>
      </c>
      <c r="B19" s="7">
        <v>0.255</v>
      </c>
      <c r="C19" s="8">
        <v>335</v>
      </c>
      <c r="D19" s="3">
        <f>B19*C19</f>
        <v>85.424999999999997</v>
      </c>
      <c r="E19" s="3">
        <f>B10</f>
        <v>64.584069415829646</v>
      </c>
      <c r="F19" s="3">
        <f>B19*E19</f>
        <v>16.468937701036559</v>
      </c>
      <c r="G19" t="s">
        <v>63</v>
      </c>
    </row>
    <row r="20" spans="1:7" ht="15" customHeight="1" x14ac:dyDescent="0.15">
      <c r="A20" s="1" t="s">
        <v>64</v>
      </c>
      <c r="B20" s="7">
        <f>SUM(B16:B19)</f>
        <v>0.999</v>
      </c>
      <c r="D20" s="3">
        <f>SUM(D16:D19)</f>
        <v>352.71300000000002</v>
      </c>
      <c r="F20" s="3">
        <f>SUM(F16:F19)</f>
        <v>51.628937701036556</v>
      </c>
      <c r="G20" t="s">
        <v>65</v>
      </c>
    </row>
    <row r="21" spans="1:7" ht="15.75" customHeight="1" x14ac:dyDescent="0.15">
      <c r="A21" t="s">
        <v>66</v>
      </c>
      <c r="B21" s="9">
        <f>1-F20/D20</f>
        <v>0.85362337736052663</v>
      </c>
    </row>
    <row r="22" spans="1:7" ht="15.75" customHeight="1" x14ac:dyDescent="0.15">
      <c r="A22" t="s">
        <v>67</v>
      </c>
      <c r="B22" s="9">
        <f>F19/F20</f>
        <v>0.31898656905167955</v>
      </c>
    </row>
    <row r="23" spans="1:7" ht="15.75" customHeight="1" x14ac:dyDescent="0.15">
      <c r="A23" t="s">
        <v>68</v>
      </c>
      <c r="B23" s="9">
        <f>F17/F20</f>
        <v>0.35015246884766033</v>
      </c>
    </row>
    <row r="24" spans="1:7" ht="15.75" customHeight="1" x14ac:dyDescent="0.15">
      <c r="A24" t="s">
        <v>69</v>
      </c>
      <c r="B24" s="4">
        <f>E19/C19</f>
        <v>0.19278826691292431</v>
      </c>
    </row>
    <row r="25" spans="1:7" ht="15.75" customHeight="1" x14ac:dyDescent="0.15"/>
    <row r="26" spans="1:7" ht="15.75" customHeight="1" x14ac:dyDescent="0.15">
      <c r="A26" s="1" t="s">
        <v>70</v>
      </c>
    </row>
    <row r="27" spans="1:7" ht="15.75" customHeight="1" x14ac:dyDescent="0.15">
      <c r="A27" s="1" t="s">
        <v>71</v>
      </c>
      <c r="B27" s="1" t="s">
        <v>72</v>
      </c>
      <c r="C27" s="1" t="s">
        <v>59</v>
      </c>
      <c r="D27" s="1" t="s">
        <v>73</v>
      </c>
      <c r="E27" s="1" t="s">
        <v>74</v>
      </c>
      <c r="F27" s="1" t="s">
        <v>75</v>
      </c>
      <c r="G27" s="1" t="s">
        <v>76</v>
      </c>
    </row>
    <row r="28" spans="1:7" ht="15.75" customHeight="1" x14ac:dyDescent="0.15">
      <c r="A28" t="s">
        <v>77</v>
      </c>
      <c r="B28" s="7">
        <v>0.7</v>
      </c>
      <c r="C28" s="7">
        <v>0.1</v>
      </c>
      <c r="D28" s="7">
        <v>0.05</v>
      </c>
      <c r="E28" s="7">
        <v>0.15</v>
      </c>
      <c r="F28" s="8">
        <f t="shared" ref="F28:F34" si="0">B28*$C$16+C28*$C$17+D28*$C$18+E28*$C$19</f>
        <v>410.99999999999994</v>
      </c>
      <c r="G28" s="8">
        <f>B28*$E$16+C28*$E$17+D28*$E$18+E28*$E$19</f>
        <v>65.387610412374443</v>
      </c>
    </row>
    <row r="29" spans="1:7" ht="15.75" customHeight="1" x14ac:dyDescent="0.15">
      <c r="A29" t="s">
        <v>78</v>
      </c>
      <c r="B29" s="7">
        <f>B16</f>
        <v>0.23400000000000001</v>
      </c>
      <c r="C29" s="7">
        <f>B17</f>
        <v>0.39300000000000002</v>
      </c>
      <c r="D29" s="7">
        <f>B18</f>
        <v>0.11700000000000001</v>
      </c>
      <c r="E29" s="7">
        <f>B19</f>
        <v>0.255</v>
      </c>
      <c r="F29" s="8">
        <f t="shared" si="0"/>
        <v>352.71300000000002</v>
      </c>
      <c r="G29" s="8">
        <f>B29*$E$16+C29*$E$17+D29*$E$18+E29*$E$19</f>
        <v>51.628937701036556</v>
      </c>
    </row>
    <row r="30" spans="1:7" ht="15.75" customHeight="1" x14ac:dyDescent="0.15">
      <c r="A30" t="s">
        <v>79</v>
      </c>
      <c r="B30" s="7">
        <f>B16</f>
        <v>0.23400000000000001</v>
      </c>
      <c r="C30" s="7">
        <f>B17</f>
        <v>0.39300000000000002</v>
      </c>
      <c r="D30" s="7">
        <f>B18</f>
        <v>0.11700000000000001</v>
      </c>
      <c r="E30" s="7">
        <f>B19</f>
        <v>0.255</v>
      </c>
      <c r="F30" s="8">
        <f t="shared" si="0"/>
        <v>352.71300000000002</v>
      </c>
      <c r="G30" s="8">
        <f>B30*$E$16+C30*$C$17+D30*$E$18+E30*$E$19</f>
        <v>158.91793770103658</v>
      </c>
    </row>
    <row r="31" spans="1:7" ht="15.75" customHeight="1" x14ac:dyDescent="0.15">
      <c r="A31" t="s">
        <v>80</v>
      </c>
      <c r="B31" s="7">
        <v>0.15</v>
      </c>
      <c r="C31" s="7">
        <v>0.7</v>
      </c>
      <c r="D31" s="7">
        <v>0.05</v>
      </c>
      <c r="E31" s="7">
        <v>0.1</v>
      </c>
      <c r="F31" s="8">
        <f t="shared" si="0"/>
        <v>339.79999999999995</v>
      </c>
      <c r="G31" s="8">
        <f>B31*$E$16+C31*$E$17+D31*$E$18+E31*$E$19</f>
        <v>49.608406941582956</v>
      </c>
    </row>
    <row r="32" spans="1:7" ht="15.75" customHeight="1" x14ac:dyDescent="0.15">
      <c r="A32" t="s">
        <v>81</v>
      </c>
      <c r="B32" s="7">
        <f>B16/(B16+B17+B18)</f>
        <v>0.31451612903225806</v>
      </c>
      <c r="C32" s="7">
        <f>B17/(B16+B17+B18)</f>
        <v>0.52822580645161288</v>
      </c>
      <c r="D32" s="7">
        <f>B18/(B16+B17+B18)</f>
        <v>0.15725806451612903</v>
      </c>
      <c r="E32" s="7">
        <v>0</v>
      </c>
      <c r="F32" s="8">
        <f t="shared" si="0"/>
        <v>359.25806451612908</v>
      </c>
      <c r="G32" s="8">
        <f>B32*$E$16+C32*$E$17+D32*$E$18+E32*$E$19</f>
        <v>47.258064516129032</v>
      </c>
    </row>
    <row r="33" spans="1:7" ht="15.75" customHeight="1" x14ac:dyDescent="0.15">
      <c r="A33" t="s">
        <v>82</v>
      </c>
      <c r="B33" s="7">
        <v>0</v>
      </c>
      <c r="C33" s="7">
        <v>0</v>
      </c>
      <c r="D33" s="7">
        <v>1</v>
      </c>
      <c r="E33" s="7">
        <v>0</v>
      </c>
      <c r="F33" s="8">
        <f t="shared" si="0"/>
        <v>319</v>
      </c>
      <c r="G33" s="8">
        <f>B33*$E$16+C33*$E$17+D33*$E$18+E33*$E$19</f>
        <v>0</v>
      </c>
    </row>
    <row r="34" spans="1:7" ht="14" x14ac:dyDescent="0.15">
      <c r="A34" t="s">
        <v>83</v>
      </c>
      <c r="B34" s="7">
        <v>1</v>
      </c>
      <c r="C34" s="7">
        <v>0</v>
      </c>
      <c r="D34" s="7">
        <v>0</v>
      </c>
      <c r="E34" s="7">
        <v>0</v>
      </c>
      <c r="F34" s="8">
        <f t="shared" si="0"/>
        <v>447</v>
      </c>
      <c r="G34" s="8">
        <f>B34*$E$16+C34*$E$17+D34*$E$18+E34*$E$19</f>
        <v>73</v>
      </c>
    </row>
    <row r="35" spans="1:7" ht="14" x14ac:dyDescent="0.15">
      <c r="A35" t="s">
        <v>84</v>
      </c>
      <c r="B35" s="7">
        <v>0</v>
      </c>
      <c r="C35" s="7">
        <v>1</v>
      </c>
      <c r="D35" s="7">
        <v>0</v>
      </c>
      <c r="E35" s="7">
        <v>0</v>
      </c>
      <c r="F35" s="8">
        <f>C35*$B$37</f>
        <v>500</v>
      </c>
      <c r="G35" s="8">
        <f>C35*$B$37</f>
        <v>500</v>
      </c>
    </row>
    <row r="36" spans="1:7" ht="14" x14ac:dyDescent="0.15"/>
    <row r="37" spans="1:7" ht="14" x14ac:dyDescent="0.15">
      <c r="A37" t="s">
        <v>85</v>
      </c>
      <c r="B37" s="8">
        <v>500</v>
      </c>
      <c r="D37" t="s">
        <v>86</v>
      </c>
    </row>
    <row r="38" spans="1:7" ht="14" x14ac:dyDescent="0.15"/>
    <row r="39" spans="1:7" ht="14" x14ac:dyDescent="0.15">
      <c r="A39" t="s">
        <v>87</v>
      </c>
    </row>
    <row r="40" spans="1:7" ht="14" x14ac:dyDescent="0.15">
      <c r="A40" t="s">
        <v>88</v>
      </c>
    </row>
  </sheetData>
  <pageMargins left="0.75" right="0.75" top="1" bottom="1"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9"/>
  <sheetViews>
    <sheetView zoomScaleNormal="100" workbookViewId="0"/>
  </sheetViews>
  <sheetFormatPr baseColWidth="10" defaultColWidth="14.5" defaultRowHeight="15" customHeight="1" x14ac:dyDescent="0.15"/>
  <cols>
    <col min="1" max="1" width="10" customWidth="1"/>
    <col min="2" max="2" width="20" customWidth="1"/>
    <col min="3" max="3" width="5" customWidth="1"/>
    <col min="4" max="4" width="20" customWidth="1"/>
    <col min="5" max="5" width="5" customWidth="1"/>
    <col min="6" max="6" width="20" customWidth="1"/>
    <col min="7" max="7" width="5" customWidth="1"/>
    <col min="8" max="8" width="24" customWidth="1"/>
    <col min="9" max="9" width="22" customWidth="1"/>
    <col min="10" max="10" width="5" customWidth="1"/>
  </cols>
  <sheetData>
    <row r="1" spans="1:10" ht="15" customHeight="1" x14ac:dyDescent="0.15">
      <c r="A1" s="1" t="s">
        <v>209</v>
      </c>
    </row>
    <row r="2" spans="1:10" ht="15" customHeight="1" x14ac:dyDescent="0.15">
      <c r="A2" s="1" t="s">
        <v>103</v>
      </c>
      <c r="B2" s="1" t="s">
        <v>210</v>
      </c>
      <c r="C2" s="1" t="s">
        <v>98</v>
      </c>
      <c r="D2" s="1" t="s">
        <v>211</v>
      </c>
      <c r="E2" s="1" t="s">
        <v>98</v>
      </c>
      <c r="F2" s="1" t="s">
        <v>212</v>
      </c>
      <c r="G2" s="1" t="s">
        <v>98</v>
      </c>
      <c r="H2" s="1" t="s">
        <v>213</v>
      </c>
      <c r="I2" s="1" t="s">
        <v>214</v>
      </c>
      <c r="J2" s="1" t="s">
        <v>98</v>
      </c>
    </row>
    <row r="3" spans="1:10" ht="15" customHeight="1" x14ac:dyDescent="0.15">
      <c r="A3" t="s">
        <v>215</v>
      </c>
      <c r="B3" s="4">
        <v>2.0699999999999998</v>
      </c>
      <c r="C3" s="8">
        <v>37</v>
      </c>
      <c r="D3" s="4">
        <v>1.71</v>
      </c>
      <c r="E3" s="8">
        <v>39</v>
      </c>
      <c r="F3" s="4">
        <v>1.84</v>
      </c>
      <c r="G3" s="8">
        <v>4</v>
      </c>
      <c r="H3" s="4">
        <v>1.02</v>
      </c>
      <c r="I3" s="4">
        <v>5.82</v>
      </c>
      <c r="J3" s="8">
        <v>12</v>
      </c>
    </row>
    <row r="4" spans="1:10" ht="15" customHeight="1" x14ac:dyDescent="0.15">
      <c r="A4" t="s">
        <v>112</v>
      </c>
      <c r="B4" s="4">
        <v>1.64</v>
      </c>
      <c r="C4" s="8">
        <v>37</v>
      </c>
      <c r="D4" s="4">
        <v>1.45</v>
      </c>
      <c r="E4" s="8">
        <v>39</v>
      </c>
      <c r="F4" s="4">
        <v>1.34</v>
      </c>
      <c r="G4" s="8">
        <v>4</v>
      </c>
      <c r="H4" s="4">
        <v>1.01</v>
      </c>
      <c r="I4" s="4">
        <v>2.0699999999999998</v>
      </c>
      <c r="J4" s="8">
        <v>20</v>
      </c>
    </row>
    <row r="5" spans="1:10" ht="15" customHeight="1" x14ac:dyDescent="0.15">
      <c r="A5" t="s">
        <v>114</v>
      </c>
      <c r="B5" s="4">
        <v>2.0099999999999998</v>
      </c>
      <c r="C5" s="8">
        <v>37</v>
      </c>
      <c r="D5" s="4">
        <v>1.69</v>
      </c>
      <c r="E5" s="8">
        <v>39</v>
      </c>
      <c r="F5" s="4">
        <v>1.54</v>
      </c>
      <c r="G5" s="8">
        <v>4</v>
      </c>
      <c r="H5" s="4">
        <v>1.02</v>
      </c>
      <c r="I5" s="4">
        <v>3.21</v>
      </c>
      <c r="J5" s="8">
        <v>12</v>
      </c>
    </row>
    <row r="6" spans="1:10" ht="15" customHeight="1" x14ac:dyDescent="0.15">
      <c r="A6" t="s">
        <v>116</v>
      </c>
      <c r="B6" s="4">
        <v>2.99</v>
      </c>
      <c r="C6" s="8">
        <v>36</v>
      </c>
      <c r="D6" s="4">
        <v>2.39</v>
      </c>
      <c r="E6" s="8">
        <v>39</v>
      </c>
      <c r="F6" s="4">
        <v>2.2000000000000002</v>
      </c>
      <c r="G6" s="8">
        <v>4</v>
      </c>
      <c r="H6" s="4">
        <v>1.1399999999999999</v>
      </c>
      <c r="I6" s="4">
        <v>4.93</v>
      </c>
      <c r="J6" s="8">
        <v>12</v>
      </c>
    </row>
    <row r="7" spans="1:10" ht="15" customHeight="1" x14ac:dyDescent="0.15">
      <c r="A7" s="14" t="s">
        <v>118</v>
      </c>
      <c r="B7" s="4">
        <v>3.52</v>
      </c>
      <c r="C7" s="8">
        <v>37</v>
      </c>
      <c r="D7" s="4">
        <v>2.46</v>
      </c>
      <c r="E7" s="8">
        <v>38</v>
      </c>
      <c r="F7" s="4">
        <v>2.76</v>
      </c>
      <c r="G7" s="8">
        <v>3</v>
      </c>
      <c r="H7" s="4">
        <v>1.29</v>
      </c>
      <c r="I7" s="4">
        <v>5.62</v>
      </c>
      <c r="J7" s="8">
        <v>12</v>
      </c>
    </row>
    <row r="9" spans="1:10" ht="15" customHeight="1" x14ac:dyDescent="0.15">
      <c r="A9" t="s">
        <v>216</v>
      </c>
      <c r="C9" s="8">
        <v>0</v>
      </c>
      <c r="E9" s="8">
        <v>0</v>
      </c>
      <c r="G9" s="8">
        <v>0</v>
      </c>
      <c r="J9" s="8">
        <v>0</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51"/>
  <sheetViews>
    <sheetView zoomScaleNormal="100" workbookViewId="0"/>
  </sheetViews>
  <sheetFormatPr baseColWidth="10" defaultColWidth="14.5" defaultRowHeight="15" customHeight="1" x14ac:dyDescent="0.15"/>
  <cols>
    <col min="1" max="1" width="26" customWidth="1"/>
    <col min="2" max="2" width="16" customWidth="1"/>
    <col min="3" max="3" width="14" customWidth="1"/>
    <col min="4" max="6" width="12" customWidth="1"/>
    <col min="7" max="7" width="14" customWidth="1"/>
    <col min="8" max="8" width="8" customWidth="1"/>
    <col min="9" max="9" width="14" customWidth="1"/>
    <col min="10" max="10" width="18" customWidth="1"/>
    <col min="11" max="11" width="16" customWidth="1"/>
    <col min="12" max="12" width="18" customWidth="1"/>
  </cols>
  <sheetData>
    <row r="1" spans="1:12" ht="15" customHeight="1" x14ac:dyDescent="0.15">
      <c r="A1" s="1" t="s">
        <v>166</v>
      </c>
    </row>
    <row r="2" spans="1:12" ht="15" customHeight="1" x14ac:dyDescent="0.15">
      <c r="A2" s="1" t="s">
        <v>167</v>
      </c>
      <c r="B2" s="1" t="s">
        <v>168</v>
      </c>
      <c r="C2" s="1" t="s">
        <v>169</v>
      </c>
      <c r="D2" s="1" t="s">
        <v>170</v>
      </c>
      <c r="E2" s="1" t="s">
        <v>171</v>
      </c>
      <c r="F2" s="1" t="s">
        <v>172</v>
      </c>
      <c r="G2" s="1" t="s">
        <v>173</v>
      </c>
      <c r="H2" s="1" t="s">
        <v>174</v>
      </c>
      <c r="I2" s="1" t="s">
        <v>175</v>
      </c>
      <c r="J2" s="1" t="s">
        <v>176</v>
      </c>
      <c r="K2" s="1" t="s">
        <v>177</v>
      </c>
      <c r="L2" s="1" t="s">
        <v>178</v>
      </c>
    </row>
    <row r="3" spans="1:12" ht="15" customHeight="1" x14ac:dyDescent="0.15">
      <c r="A3" t="s">
        <v>105</v>
      </c>
      <c r="B3" s="4">
        <f>Assumptions!$B$3*Assumptions!$B$4</f>
        <v>1.9233333333333333</v>
      </c>
      <c r="C3" s="3">
        <f>Corpus!C3</f>
        <v>78.3</v>
      </c>
      <c r="D3" s="2">
        <f>Assumptions!$B$5/C3</f>
        <v>1</v>
      </c>
      <c r="E3" s="4">
        <f t="shared" ref="E3:E49" si="0">B3*D3</f>
        <v>1.9233333333333333</v>
      </c>
      <c r="F3" s="4">
        <f>Assumptions!$B$6</f>
        <v>1.05</v>
      </c>
      <c r="G3" s="4">
        <f t="shared" ref="G3:G49" si="1">E3*F3</f>
        <v>2.0195000000000003</v>
      </c>
      <c r="H3" s="4">
        <f>IF(Corpus!R3="5x",Assumptions!$B$7,Assumptions!$B$8)</f>
        <v>1</v>
      </c>
      <c r="I3" s="4">
        <f t="shared" ref="I3:I49" si="2">G3*H3</f>
        <v>2.0195000000000003</v>
      </c>
      <c r="J3" t="str">
        <f>Corpus!Q3</f>
        <v>None</v>
      </c>
      <c r="K3" s="4">
        <f>Corpus!H3</f>
        <v>1</v>
      </c>
      <c r="L3" s="4">
        <f t="shared" ref="L3:L49" si="3">I3*K3</f>
        <v>2.0195000000000003</v>
      </c>
    </row>
    <row r="4" spans="1:12" ht="15" customHeight="1" x14ac:dyDescent="0.15">
      <c r="A4" t="s">
        <v>108</v>
      </c>
      <c r="B4" s="4">
        <f>Assumptions!$B$3*Assumptions!$B$4</f>
        <v>1.9233333333333333</v>
      </c>
      <c r="C4" s="3">
        <f>Corpus!C4</f>
        <v>60.78</v>
      </c>
      <c r="D4" s="2">
        <f>Assumptions!$B$5/C4</f>
        <v>1.2882527147087857</v>
      </c>
      <c r="E4" s="4">
        <f t="shared" si="0"/>
        <v>2.4777393879565643</v>
      </c>
      <c r="F4" s="4">
        <f>Assumptions!$B$6</f>
        <v>1.05</v>
      </c>
      <c r="G4" s="4">
        <f t="shared" si="1"/>
        <v>2.6016263573543927</v>
      </c>
      <c r="H4" s="4">
        <f>IF(Corpus!R4="5x",Assumptions!$B$7,Assumptions!$B$8)</f>
        <v>2.99</v>
      </c>
      <c r="I4" s="4">
        <f t="shared" si="2"/>
        <v>7.7788628084896345</v>
      </c>
      <c r="J4" t="str">
        <f>Corpus!Q4</f>
        <v>None</v>
      </c>
      <c r="K4" s="4">
        <f>Corpus!H4</f>
        <v>1</v>
      </c>
      <c r="L4" s="4">
        <f t="shared" si="3"/>
        <v>7.7788628084896345</v>
      </c>
    </row>
    <row r="5" spans="1:12" ht="15" customHeight="1" x14ac:dyDescent="0.15">
      <c r="A5" t="s">
        <v>111</v>
      </c>
      <c r="B5" s="4">
        <f>Assumptions!$B$3*Assumptions!$B$4</f>
        <v>1.9233333333333333</v>
      </c>
      <c r="C5" s="3">
        <f>Corpus!C5</f>
        <v>61</v>
      </c>
      <c r="D5" s="2">
        <f>Assumptions!$B$5/C5</f>
        <v>1.2836065573770492</v>
      </c>
      <c r="E5" s="4">
        <f t="shared" si="0"/>
        <v>2.4688032786885246</v>
      </c>
      <c r="F5" s="4">
        <f>Assumptions!$B$6</f>
        <v>1.05</v>
      </c>
      <c r="G5" s="4">
        <f t="shared" si="1"/>
        <v>2.592243442622951</v>
      </c>
      <c r="H5" s="4">
        <f>IF(Corpus!R5="5x",Assumptions!$B$7,Assumptions!$B$8)</f>
        <v>2.99</v>
      </c>
      <c r="I5" s="4">
        <f t="shared" si="2"/>
        <v>7.7508078934426239</v>
      </c>
      <c r="J5" t="str">
        <f>Corpus!Q5</f>
        <v>Low</v>
      </c>
      <c r="K5" s="4">
        <f>Corpus!H5</f>
        <v>2.23</v>
      </c>
      <c r="L5" s="4">
        <f t="shared" si="3"/>
        <v>17.284301602377052</v>
      </c>
    </row>
    <row r="6" spans="1:12" ht="15" customHeight="1" x14ac:dyDescent="0.15">
      <c r="A6" t="s">
        <v>113</v>
      </c>
      <c r="B6" s="4">
        <f>Assumptions!$B$3*Assumptions!$B$4</f>
        <v>1.9233333333333333</v>
      </c>
      <c r="C6" s="3">
        <f>Corpus!C6</f>
        <v>63.47</v>
      </c>
      <c r="D6" s="2">
        <f>Assumptions!$B$5/C6</f>
        <v>1.2336536946588939</v>
      </c>
      <c r="E6" s="4">
        <f t="shared" si="0"/>
        <v>2.3727272727272726</v>
      </c>
      <c r="F6" s="4">
        <f>Assumptions!$B$6</f>
        <v>1.05</v>
      </c>
      <c r="G6" s="4">
        <f t="shared" si="1"/>
        <v>2.4913636363636362</v>
      </c>
      <c r="H6" s="4">
        <f>IF(Corpus!R6="5x",Assumptions!$B$7,Assumptions!$B$8)</f>
        <v>2.99</v>
      </c>
      <c r="I6" s="4">
        <f t="shared" si="2"/>
        <v>7.4491772727272725</v>
      </c>
      <c r="J6" t="str">
        <f>Corpus!Q6</f>
        <v>Medium</v>
      </c>
      <c r="K6" s="4">
        <f>Corpus!H6</f>
        <v>3.84</v>
      </c>
      <c r="L6" s="4">
        <f t="shared" si="3"/>
        <v>28.604840727272727</v>
      </c>
    </row>
    <row r="7" spans="1:12" ht="15" customHeight="1" x14ac:dyDescent="0.15">
      <c r="A7" t="s">
        <v>115</v>
      </c>
      <c r="B7" s="4">
        <f>Assumptions!$B$3*Assumptions!$B$4</f>
        <v>1.9233333333333333</v>
      </c>
      <c r="C7" s="3">
        <f>Corpus!C7</f>
        <v>69</v>
      </c>
      <c r="D7" s="2">
        <f>Assumptions!$B$5/C7</f>
        <v>1.1347826086956521</v>
      </c>
      <c r="E7" s="4">
        <f t="shared" si="0"/>
        <v>2.1825652173913039</v>
      </c>
      <c r="F7" s="4">
        <f>Assumptions!$B$6</f>
        <v>1.05</v>
      </c>
      <c r="G7" s="4">
        <f t="shared" si="1"/>
        <v>2.2916934782608691</v>
      </c>
      <c r="H7" s="4">
        <f>IF(Corpus!R7="5x",Assumptions!$B$7,Assumptions!$B$8)</f>
        <v>2.99</v>
      </c>
      <c r="I7" s="4">
        <f t="shared" si="2"/>
        <v>6.8521634999999987</v>
      </c>
      <c r="J7" t="str">
        <f>Corpus!Q7</f>
        <v>High</v>
      </c>
      <c r="K7" s="4">
        <f>Corpus!H7</f>
        <v>6.12</v>
      </c>
      <c r="L7" s="4">
        <f t="shared" si="3"/>
        <v>41.935240619999995</v>
      </c>
    </row>
    <row r="8" spans="1:12" ht="15" customHeight="1" x14ac:dyDescent="0.15">
      <c r="A8" t="s">
        <v>117</v>
      </c>
      <c r="B8" s="4">
        <f>Assumptions!$B$3*Assumptions!$B$4</f>
        <v>1.9233333333333333</v>
      </c>
      <c r="C8" s="3">
        <f>Corpus!C8</f>
        <v>61.85</v>
      </c>
      <c r="D8" s="2">
        <f>Assumptions!$B$5/C8</f>
        <v>1.2659660468876313</v>
      </c>
      <c r="E8" s="4">
        <f t="shared" si="0"/>
        <v>2.4348746968472108</v>
      </c>
      <c r="F8" s="4">
        <f>Assumptions!$B$6</f>
        <v>1.05</v>
      </c>
      <c r="G8" s="4">
        <f t="shared" si="1"/>
        <v>2.5566184316895715</v>
      </c>
      <c r="H8" s="4">
        <f>IF(Corpus!R8="5x",Assumptions!$B$7,Assumptions!$B$8)</f>
        <v>2.99</v>
      </c>
      <c r="I8" s="4">
        <f t="shared" si="2"/>
        <v>7.6442891107518189</v>
      </c>
      <c r="J8" t="str">
        <f>Corpus!Q8</f>
        <v>xHigh</v>
      </c>
      <c r="K8" s="4">
        <f>Corpus!H8</f>
        <v>3.75</v>
      </c>
      <c r="L8" s="4">
        <f t="shared" si="3"/>
        <v>28.666084165319322</v>
      </c>
    </row>
    <row r="9" spans="1:12" ht="15" customHeight="1" x14ac:dyDescent="0.15">
      <c r="A9" t="s">
        <v>119</v>
      </c>
      <c r="B9" s="4">
        <f>Assumptions!$B$3*Assumptions!$B$4</f>
        <v>1.9233333333333333</v>
      </c>
      <c r="C9" s="3">
        <f>Corpus!C9</f>
        <v>60.3</v>
      </c>
      <c r="D9" s="2">
        <f>Assumptions!$B$5/C9</f>
        <v>1.2985074626865671</v>
      </c>
      <c r="E9" s="4">
        <f t="shared" si="0"/>
        <v>2.4974626865671641</v>
      </c>
      <c r="F9" s="4">
        <f>Assumptions!$B$6</f>
        <v>1.05</v>
      </c>
      <c r="G9" s="4">
        <f t="shared" si="1"/>
        <v>2.6223358208955223</v>
      </c>
      <c r="H9" s="4">
        <f>IF(Corpus!R9="5x",Assumptions!$B$7,Assumptions!$B$8)</f>
        <v>2.99</v>
      </c>
      <c r="I9" s="4">
        <f t="shared" si="2"/>
        <v>7.8407841044776125</v>
      </c>
      <c r="J9" t="str">
        <f>Corpus!Q9</f>
        <v>None</v>
      </c>
      <c r="K9" s="4">
        <f>Corpus!H9</f>
        <v>1</v>
      </c>
      <c r="L9" s="4">
        <f t="shared" si="3"/>
        <v>7.8407841044776125</v>
      </c>
    </row>
    <row r="10" spans="1:12" ht="15" customHeight="1" x14ac:dyDescent="0.15">
      <c r="A10" t="s">
        <v>121</v>
      </c>
      <c r="B10" s="4">
        <f>Assumptions!$B$3*Assumptions!$B$4</f>
        <v>1.9233333333333333</v>
      </c>
      <c r="C10" s="3">
        <f>Corpus!C10</f>
        <v>57.53</v>
      </c>
      <c r="D10" s="2">
        <f>Assumptions!$B$5/C10</f>
        <v>1.3610290283330435</v>
      </c>
      <c r="E10" s="4">
        <f t="shared" si="0"/>
        <v>2.6177124978272204</v>
      </c>
      <c r="F10" s="4">
        <f>Assumptions!$B$6</f>
        <v>1.05</v>
      </c>
      <c r="G10" s="4">
        <f t="shared" si="1"/>
        <v>2.7485981227185814</v>
      </c>
      <c r="H10" s="4">
        <f>IF(Corpus!R10="5x",Assumptions!$B$7,Assumptions!$B$8)</f>
        <v>2.99</v>
      </c>
      <c r="I10" s="4">
        <f t="shared" si="2"/>
        <v>8.2183083869285589</v>
      </c>
      <c r="J10" t="str">
        <f>Corpus!Q10</f>
        <v>Low</v>
      </c>
      <c r="K10" s="4">
        <f>Corpus!H10</f>
        <v>1.67</v>
      </c>
      <c r="L10" s="4">
        <f t="shared" si="3"/>
        <v>13.724575006170692</v>
      </c>
    </row>
    <row r="11" spans="1:12" ht="15" customHeight="1" x14ac:dyDescent="0.15">
      <c r="A11" t="s">
        <v>122</v>
      </c>
      <c r="B11" s="4">
        <f>Assumptions!$B$3*Assumptions!$B$4</f>
        <v>1.9233333333333333</v>
      </c>
      <c r="C11" s="3">
        <f>Corpus!C11</f>
        <v>57.78</v>
      </c>
      <c r="D11" s="2">
        <f>Assumptions!$B$5/C11</f>
        <v>1.3551401869158877</v>
      </c>
      <c r="E11" s="4">
        <f t="shared" si="0"/>
        <v>2.6063862928348907</v>
      </c>
      <c r="F11" s="4">
        <f>Assumptions!$B$6</f>
        <v>1.05</v>
      </c>
      <c r="G11" s="4">
        <f t="shared" si="1"/>
        <v>2.7367056074766354</v>
      </c>
      <c r="H11" s="4">
        <f>IF(Corpus!R11="5x",Assumptions!$B$7,Assumptions!$B$8)</f>
        <v>2.99</v>
      </c>
      <c r="I11" s="4">
        <f t="shared" si="2"/>
        <v>8.1827497663551405</v>
      </c>
      <c r="J11" t="str">
        <f>Corpus!Q11</f>
        <v>Medium</v>
      </c>
      <c r="K11" s="4">
        <f>Corpus!H11</f>
        <v>1.84</v>
      </c>
      <c r="L11" s="4">
        <f t="shared" si="3"/>
        <v>15.056259570093459</v>
      </c>
    </row>
    <row r="12" spans="1:12" ht="15" customHeight="1" x14ac:dyDescent="0.15">
      <c r="A12" t="s">
        <v>123</v>
      </c>
      <c r="B12" s="4">
        <f>Assumptions!$B$3*Assumptions!$B$4</f>
        <v>1.9233333333333333</v>
      </c>
      <c r="C12" s="3">
        <f>Corpus!C12</f>
        <v>57.09</v>
      </c>
      <c r="D12" s="2">
        <f>Assumptions!$B$5/C12</f>
        <v>1.3715186547556488</v>
      </c>
      <c r="E12" s="4">
        <f t="shared" si="0"/>
        <v>2.6378875459800311</v>
      </c>
      <c r="F12" s="4">
        <f>Assumptions!$B$6</f>
        <v>1.05</v>
      </c>
      <c r="G12" s="4">
        <f t="shared" si="1"/>
        <v>2.7697819232790328</v>
      </c>
      <c r="H12" s="4">
        <f>IF(Corpus!R12="5x",Assumptions!$B$7,Assumptions!$B$8)</f>
        <v>2.99</v>
      </c>
      <c r="I12" s="4">
        <f t="shared" si="2"/>
        <v>8.2816479506043095</v>
      </c>
      <c r="J12" t="str">
        <f>Corpus!Q12</f>
        <v>High</v>
      </c>
      <c r="K12" s="4">
        <f>Corpus!H12</f>
        <v>2.0299999999999998</v>
      </c>
      <c r="L12" s="4">
        <f t="shared" si="3"/>
        <v>16.811745339726748</v>
      </c>
    </row>
    <row r="13" spans="1:12" ht="15" customHeight="1" x14ac:dyDescent="0.15">
      <c r="A13" t="s">
        <v>124</v>
      </c>
      <c r="B13" s="4">
        <f>Assumptions!$B$3*Assumptions!$B$4</f>
        <v>1.9233333333333333</v>
      </c>
      <c r="C13" s="3">
        <f>Corpus!C13</f>
        <v>59.39</v>
      </c>
      <c r="D13" s="2">
        <f>Assumptions!$B$5/C13</f>
        <v>1.3184037716787338</v>
      </c>
      <c r="E13" s="4">
        <f t="shared" si="0"/>
        <v>2.535729920862098</v>
      </c>
      <c r="F13" s="4">
        <f>Assumptions!$B$6</f>
        <v>1.05</v>
      </c>
      <c r="G13" s="4">
        <f t="shared" si="1"/>
        <v>2.6625164169052029</v>
      </c>
      <c r="H13" s="4">
        <f>IF(Corpus!R13="5x",Assumptions!$B$7,Assumptions!$B$8)</f>
        <v>2.99</v>
      </c>
      <c r="I13" s="4">
        <f t="shared" si="2"/>
        <v>7.9609240865465569</v>
      </c>
      <c r="J13" t="str">
        <f>Corpus!Q13</f>
        <v>xHigh</v>
      </c>
      <c r="K13" s="4">
        <f>Corpus!H13</f>
        <v>3.22</v>
      </c>
      <c r="L13" s="4">
        <f t="shared" si="3"/>
        <v>25.634175558679914</v>
      </c>
    </row>
    <row r="14" spans="1:12" ht="15" customHeight="1" x14ac:dyDescent="0.15">
      <c r="A14" t="s">
        <v>125</v>
      </c>
      <c r="B14" s="4">
        <f>Assumptions!$B$3*Assumptions!$B$4</f>
        <v>1.9233333333333333</v>
      </c>
      <c r="C14" s="3">
        <f>Corpus!C14</f>
        <v>156.58000000000001</v>
      </c>
      <c r="D14" s="2">
        <f>Assumptions!$B$5/C14</f>
        <v>0.50006386511687306</v>
      </c>
      <c r="E14" s="4">
        <f t="shared" si="0"/>
        <v>0.96178950057478585</v>
      </c>
      <c r="F14" s="4">
        <f>Assumptions!$B$6</f>
        <v>1.05</v>
      </c>
      <c r="G14" s="4">
        <f t="shared" si="1"/>
        <v>1.0098789756035251</v>
      </c>
      <c r="H14" s="4">
        <f>IF(Corpus!R14="5x",Assumptions!$B$7,Assumptions!$B$8)</f>
        <v>2.99</v>
      </c>
      <c r="I14" s="4">
        <f t="shared" si="2"/>
        <v>3.0195381370545404</v>
      </c>
      <c r="J14" t="str">
        <f>Corpus!Q14</f>
        <v>None</v>
      </c>
      <c r="K14" s="4">
        <f>Corpus!H14</f>
        <v>1</v>
      </c>
      <c r="L14" s="4">
        <f t="shared" si="3"/>
        <v>3.0195381370545404</v>
      </c>
    </row>
    <row r="15" spans="1:12" ht="15" customHeight="1" x14ac:dyDescent="0.15">
      <c r="A15" t="s">
        <v>127</v>
      </c>
      <c r="B15" s="4">
        <f>Assumptions!$B$3*Assumptions!$B$4</f>
        <v>1.9233333333333333</v>
      </c>
      <c r="C15" s="3">
        <f>Corpus!C15</f>
        <v>153.07</v>
      </c>
      <c r="D15" s="2">
        <f>Assumptions!$B$5/C15</f>
        <v>0.51153067224145821</v>
      </c>
      <c r="E15" s="4">
        <f t="shared" si="0"/>
        <v>0.98384399294440461</v>
      </c>
      <c r="F15" s="4">
        <f>Assumptions!$B$6</f>
        <v>1.05</v>
      </c>
      <c r="G15" s="4">
        <f t="shared" si="1"/>
        <v>1.0330361925916249</v>
      </c>
      <c r="H15" s="4">
        <f>IF(Corpus!R15="5x",Assumptions!$B$7,Assumptions!$B$8)</f>
        <v>2.99</v>
      </c>
      <c r="I15" s="4">
        <f t="shared" si="2"/>
        <v>3.0887782158489587</v>
      </c>
      <c r="J15" t="str">
        <f>Corpus!Q15</f>
        <v>Low</v>
      </c>
      <c r="K15" s="4">
        <f>Corpus!H15</f>
        <v>1.61</v>
      </c>
      <c r="L15" s="4">
        <f t="shared" si="3"/>
        <v>4.9729329275168235</v>
      </c>
    </row>
    <row r="16" spans="1:12" ht="15" customHeight="1" x14ac:dyDescent="0.15">
      <c r="A16" t="s">
        <v>128</v>
      </c>
      <c r="B16" s="4">
        <f>Assumptions!$B$3*Assumptions!$B$4</f>
        <v>1.9233333333333333</v>
      </c>
      <c r="C16" s="3">
        <f>Corpus!C16</f>
        <v>156</v>
      </c>
      <c r="D16" s="2">
        <f>Assumptions!$B$5/C16</f>
        <v>0.50192307692307692</v>
      </c>
      <c r="E16" s="4">
        <f t="shared" si="0"/>
        <v>0.96536538461538457</v>
      </c>
      <c r="F16" s="4">
        <f>Assumptions!$B$6</f>
        <v>1.05</v>
      </c>
      <c r="G16" s="4">
        <f t="shared" si="1"/>
        <v>1.0136336538461539</v>
      </c>
      <c r="H16" s="4">
        <f>IF(Corpus!R16="5x",Assumptions!$B$7,Assumptions!$B$8)</f>
        <v>2.99</v>
      </c>
      <c r="I16" s="4">
        <f t="shared" si="2"/>
        <v>3.0307646250000002</v>
      </c>
      <c r="J16" t="str">
        <f>Corpus!Q16</f>
        <v>Medium</v>
      </c>
      <c r="K16" s="4">
        <f>Corpus!H16</f>
        <v>1.83</v>
      </c>
      <c r="L16" s="4">
        <f t="shared" si="3"/>
        <v>5.5462992637500008</v>
      </c>
    </row>
    <row r="17" spans="1:12" ht="15" customHeight="1" x14ac:dyDescent="0.15">
      <c r="A17" t="s">
        <v>129</v>
      </c>
      <c r="B17" s="4">
        <f>Assumptions!$B$3*Assumptions!$B$4</f>
        <v>1.9233333333333333</v>
      </c>
      <c r="C17" s="3">
        <f>Corpus!C17</f>
        <v>157.47</v>
      </c>
      <c r="D17" s="2">
        <f>Assumptions!$B$5/C17</f>
        <v>0.49723756906077349</v>
      </c>
      <c r="E17" s="4">
        <f t="shared" si="0"/>
        <v>0.95635359116022101</v>
      </c>
      <c r="F17" s="4">
        <f>Assumptions!$B$6</f>
        <v>1.05</v>
      </c>
      <c r="G17" s="4">
        <f t="shared" si="1"/>
        <v>1.0041712707182322</v>
      </c>
      <c r="H17" s="4">
        <f>IF(Corpus!R17="5x",Assumptions!$B$7,Assumptions!$B$8)</f>
        <v>2.99</v>
      </c>
      <c r="I17" s="4">
        <f t="shared" si="2"/>
        <v>3.0024720994475147</v>
      </c>
      <c r="J17" t="str">
        <f>Corpus!Q17</f>
        <v>High</v>
      </c>
      <c r="K17" s="4">
        <f>Corpus!H17</f>
        <v>1.97</v>
      </c>
      <c r="L17" s="4">
        <f t="shared" si="3"/>
        <v>5.914870035911604</v>
      </c>
    </row>
    <row r="18" spans="1:12" ht="15" customHeight="1" x14ac:dyDescent="0.15">
      <c r="A18" t="s">
        <v>130</v>
      </c>
      <c r="B18" s="4">
        <f>Assumptions!$B$3*Assumptions!$B$4</f>
        <v>1.9233333333333333</v>
      </c>
      <c r="C18" s="3">
        <f>Corpus!C18</f>
        <v>154.37</v>
      </c>
      <c r="D18" s="2">
        <f>Assumptions!$B$5/C18</f>
        <v>0.50722290600505271</v>
      </c>
      <c r="E18" s="4">
        <f t="shared" si="0"/>
        <v>0.97555872254971809</v>
      </c>
      <c r="F18" s="4">
        <f>Assumptions!$B$6</f>
        <v>1.05</v>
      </c>
      <c r="G18" s="4">
        <f t="shared" si="1"/>
        <v>1.024336658677204</v>
      </c>
      <c r="H18" s="4">
        <f>IF(Corpus!R18="5x",Assumptions!$B$7,Assumptions!$B$8)</f>
        <v>2.99</v>
      </c>
      <c r="I18" s="4">
        <f t="shared" si="2"/>
        <v>3.0627666094448402</v>
      </c>
      <c r="J18" t="str">
        <f>Corpus!Q18</f>
        <v>xHigh</v>
      </c>
      <c r="K18" s="4">
        <f>Corpus!H18</f>
        <v>3.7</v>
      </c>
      <c r="L18" s="4">
        <f t="shared" si="3"/>
        <v>11.33223645494591</v>
      </c>
    </row>
    <row r="19" spans="1:12" ht="15" customHeight="1" x14ac:dyDescent="0.15">
      <c r="A19" t="s">
        <v>131</v>
      </c>
      <c r="B19" s="4">
        <f>Assumptions!$B$3*Assumptions!$B$4</f>
        <v>1.9233333333333333</v>
      </c>
      <c r="C19" s="3">
        <f>Corpus!C19</f>
        <v>145.41</v>
      </c>
      <c r="D19" s="2">
        <f>Assumptions!$B$5/C19</f>
        <v>0.53847740870641636</v>
      </c>
      <c r="E19" s="4">
        <f t="shared" si="0"/>
        <v>1.0356715494120075</v>
      </c>
      <c r="F19" s="4">
        <f>Assumptions!$B$6</f>
        <v>1.05</v>
      </c>
      <c r="G19" s="4">
        <f t="shared" si="1"/>
        <v>1.0874551268826078</v>
      </c>
      <c r="H19" s="4">
        <f>IF(Corpus!R19="5x",Assumptions!$B$7,Assumptions!$B$8)</f>
        <v>2.99</v>
      </c>
      <c r="I19" s="4">
        <f t="shared" si="2"/>
        <v>3.2514908293789975</v>
      </c>
      <c r="J19" t="str">
        <f>Corpus!Q19</f>
        <v>None</v>
      </c>
      <c r="K19" s="4">
        <f>Corpus!H19</f>
        <v>1</v>
      </c>
      <c r="L19" s="4">
        <f t="shared" si="3"/>
        <v>3.2514908293789975</v>
      </c>
    </row>
    <row r="20" spans="1:12" ht="15" customHeight="1" x14ac:dyDescent="0.15">
      <c r="A20" t="s">
        <v>133</v>
      </c>
      <c r="B20" s="4">
        <f>Assumptions!$B$3*Assumptions!$B$4</f>
        <v>1.9233333333333333</v>
      </c>
      <c r="C20" s="3">
        <f>Corpus!C20</f>
        <v>138.63999999999999</v>
      </c>
      <c r="D20" s="2">
        <f>Assumptions!$B$5/C20</f>
        <v>0.56477207155222164</v>
      </c>
      <c r="E20" s="4">
        <f t="shared" si="0"/>
        <v>1.0862449509521064</v>
      </c>
      <c r="F20" s="4">
        <f>Assumptions!$B$6</f>
        <v>1.05</v>
      </c>
      <c r="G20" s="4">
        <f t="shared" si="1"/>
        <v>1.1405571984997118</v>
      </c>
      <c r="H20" s="4">
        <f>IF(Corpus!R20="5x",Assumptions!$B$7,Assumptions!$B$8)</f>
        <v>2.99</v>
      </c>
      <c r="I20" s="4">
        <f t="shared" si="2"/>
        <v>3.4102660235141387</v>
      </c>
      <c r="J20" t="str">
        <f>Corpus!Q20</f>
        <v>Low</v>
      </c>
      <c r="K20" s="4">
        <f>Corpus!H20</f>
        <v>1.44</v>
      </c>
      <c r="L20" s="4">
        <f t="shared" si="3"/>
        <v>4.9107830738603591</v>
      </c>
    </row>
    <row r="21" spans="1:12" ht="15.75" customHeight="1" x14ac:dyDescent="0.15">
      <c r="A21" t="s">
        <v>134</v>
      </c>
      <c r="B21" s="4">
        <f>Assumptions!$B$3*Assumptions!$B$4</f>
        <v>1.9233333333333333</v>
      </c>
      <c r="C21" s="3">
        <f>Corpus!C21</f>
        <v>140.63</v>
      </c>
      <c r="D21" s="2">
        <f>Assumptions!$B$5/C21</f>
        <v>0.55678020337054679</v>
      </c>
      <c r="E21" s="4">
        <f t="shared" si="0"/>
        <v>1.070873924482685</v>
      </c>
      <c r="F21" s="4">
        <f>Assumptions!$B$6</f>
        <v>1.05</v>
      </c>
      <c r="G21" s="4">
        <f t="shared" si="1"/>
        <v>1.1244176207068193</v>
      </c>
      <c r="H21" s="4">
        <f>IF(Corpus!R21="5x",Assumptions!$B$7,Assumptions!$B$8)</f>
        <v>2.99</v>
      </c>
      <c r="I21" s="4">
        <f t="shared" si="2"/>
        <v>3.36200868591339</v>
      </c>
      <c r="J21" t="str">
        <f>Corpus!Q21</f>
        <v>Medium</v>
      </c>
      <c r="K21" s="4">
        <f>Corpus!H21</f>
        <v>1.67</v>
      </c>
      <c r="L21" s="4">
        <f t="shared" si="3"/>
        <v>5.6145545054753612</v>
      </c>
    </row>
    <row r="22" spans="1:12" ht="15.75" customHeight="1" x14ac:dyDescent="0.15">
      <c r="A22" t="s">
        <v>135</v>
      </c>
      <c r="B22" s="4">
        <f>Assumptions!$B$3*Assumptions!$B$4</f>
        <v>1.9233333333333333</v>
      </c>
      <c r="C22" s="3">
        <f>Corpus!C22</f>
        <v>142.46</v>
      </c>
      <c r="D22" s="2">
        <f>Assumptions!$B$5/C22</f>
        <v>0.54962796574477046</v>
      </c>
      <c r="E22" s="4">
        <f t="shared" si="0"/>
        <v>1.0571177874491084</v>
      </c>
      <c r="F22" s="4">
        <f>Assumptions!$B$6</f>
        <v>1.05</v>
      </c>
      <c r="G22" s="4">
        <f t="shared" si="1"/>
        <v>1.109973676821564</v>
      </c>
      <c r="H22" s="4">
        <f>IF(Corpus!R22="5x",Assumptions!$B$7,Assumptions!$B$8)</f>
        <v>2.99</v>
      </c>
      <c r="I22" s="4">
        <f t="shared" si="2"/>
        <v>3.3188212936964767</v>
      </c>
      <c r="J22" t="str">
        <f>Corpus!Q22</f>
        <v>High</v>
      </c>
      <c r="K22" s="4">
        <f>Corpus!H22</f>
        <v>2.91</v>
      </c>
      <c r="L22" s="4">
        <f t="shared" si="3"/>
        <v>9.6577699646567474</v>
      </c>
    </row>
    <row r="23" spans="1:12" ht="15.75" customHeight="1" x14ac:dyDescent="0.15">
      <c r="A23" t="s">
        <v>136</v>
      </c>
      <c r="B23" s="4">
        <f>Assumptions!$B$3*Assumptions!$B$4</f>
        <v>1.9233333333333333</v>
      </c>
      <c r="C23" s="3">
        <f>Corpus!C23</f>
        <v>145.78</v>
      </c>
      <c r="D23" s="2">
        <f>Assumptions!$B$5/C23</f>
        <v>0.53711071477568939</v>
      </c>
      <c r="E23" s="4">
        <f t="shared" si="0"/>
        <v>1.033042941418576</v>
      </c>
      <c r="F23" s="4">
        <f>Assumptions!$B$6</f>
        <v>1.05</v>
      </c>
      <c r="G23" s="4">
        <f t="shared" si="1"/>
        <v>1.0846950884895048</v>
      </c>
      <c r="H23" s="4">
        <f>IF(Corpus!R23="5x",Assumptions!$B$7,Assumptions!$B$8)</f>
        <v>2.99</v>
      </c>
      <c r="I23" s="4">
        <f t="shared" si="2"/>
        <v>3.2432383145836194</v>
      </c>
      <c r="J23" t="str">
        <f>Corpus!Q23</f>
        <v>xHigh</v>
      </c>
      <c r="K23" s="4">
        <f>Corpus!H23</f>
        <v>12.49</v>
      </c>
      <c r="L23" s="4">
        <f t="shared" si="3"/>
        <v>40.508046549149405</v>
      </c>
    </row>
    <row r="24" spans="1:12" ht="15.75" customHeight="1" x14ac:dyDescent="0.15">
      <c r="A24" t="s">
        <v>137</v>
      </c>
      <c r="B24" s="4">
        <f>Assumptions!$B$3*Assumptions!$B$4</f>
        <v>1.9233333333333333</v>
      </c>
      <c r="C24" s="3">
        <f>Corpus!C24</f>
        <v>85.94</v>
      </c>
      <c r="D24" s="2">
        <f>Assumptions!$B$5/C24</f>
        <v>0.91110076797765882</v>
      </c>
      <c r="E24" s="4">
        <f t="shared" si="0"/>
        <v>1.7523504770770304</v>
      </c>
      <c r="F24" s="4">
        <f>Assumptions!$B$6</f>
        <v>1.05</v>
      </c>
      <c r="G24" s="4">
        <f t="shared" si="1"/>
        <v>1.8399680009308821</v>
      </c>
      <c r="H24" s="4">
        <f>IF(Corpus!R24="5x",Assumptions!$B$7,Assumptions!$B$8)</f>
        <v>2.99</v>
      </c>
      <c r="I24" s="4">
        <f t="shared" si="2"/>
        <v>5.5015043227833376</v>
      </c>
      <c r="J24" t="str">
        <f>Corpus!Q24</f>
        <v>None</v>
      </c>
      <c r="K24" s="4">
        <f>Corpus!H24</f>
        <v>1</v>
      </c>
      <c r="L24" s="4">
        <f t="shared" si="3"/>
        <v>5.5015043227833376</v>
      </c>
    </row>
    <row r="25" spans="1:12" ht="15.75" customHeight="1" x14ac:dyDescent="0.15">
      <c r="A25" t="s">
        <v>139</v>
      </c>
      <c r="B25" s="4">
        <f>Assumptions!$B$3*Assumptions!$B$4</f>
        <v>1.9233333333333333</v>
      </c>
      <c r="C25" s="3">
        <f>Corpus!C25</f>
        <v>91.65</v>
      </c>
      <c r="D25" s="2">
        <f>Assumptions!$B$5/C25</f>
        <v>0.85433715220949258</v>
      </c>
      <c r="E25" s="4">
        <f t="shared" si="0"/>
        <v>1.6431751227495908</v>
      </c>
      <c r="F25" s="4">
        <f>Assumptions!$B$6</f>
        <v>1.05</v>
      </c>
      <c r="G25" s="4">
        <f t="shared" si="1"/>
        <v>1.7253338788870705</v>
      </c>
      <c r="H25" s="4">
        <f>IF(Corpus!R25="5x",Assumptions!$B$7,Assumptions!$B$8)</f>
        <v>2.99</v>
      </c>
      <c r="I25" s="4">
        <f t="shared" si="2"/>
        <v>5.1587482978723411</v>
      </c>
      <c r="J25" t="str">
        <f>Corpus!Q25</f>
        <v>Low</v>
      </c>
      <c r="K25" s="4">
        <f>Corpus!H25</f>
        <v>1.35</v>
      </c>
      <c r="L25" s="4">
        <f t="shared" si="3"/>
        <v>6.9643102021276606</v>
      </c>
    </row>
    <row r="26" spans="1:12" ht="15.75" customHeight="1" x14ac:dyDescent="0.15">
      <c r="A26" t="s">
        <v>140</v>
      </c>
      <c r="B26" s="4">
        <f>Assumptions!$B$3*Assumptions!$B$4</f>
        <v>1.9233333333333333</v>
      </c>
      <c r="C26" s="3">
        <f>Corpus!C26</f>
        <v>94.25</v>
      </c>
      <c r="D26" s="2">
        <f>Assumptions!$B$5/C26</f>
        <v>0.8307692307692307</v>
      </c>
      <c r="E26" s="4">
        <f t="shared" si="0"/>
        <v>1.5978461538461537</v>
      </c>
      <c r="F26" s="4">
        <f>Assumptions!$B$6</f>
        <v>1.05</v>
      </c>
      <c r="G26" s="4">
        <f t="shared" si="1"/>
        <v>1.6777384615384614</v>
      </c>
      <c r="H26" s="4">
        <f>IF(Corpus!R26="5x",Assumptions!$B$7,Assumptions!$B$8)</f>
        <v>2.99</v>
      </c>
      <c r="I26" s="4">
        <f t="shared" si="2"/>
        <v>5.016438</v>
      </c>
      <c r="J26" t="str">
        <f>Corpus!Q26</f>
        <v>Medium</v>
      </c>
      <c r="K26" s="4">
        <f>Corpus!H26</f>
        <v>1.75</v>
      </c>
      <c r="L26" s="4">
        <f t="shared" si="3"/>
        <v>8.7787664999999997</v>
      </c>
    </row>
    <row r="27" spans="1:12" ht="15.75" customHeight="1" x14ac:dyDescent="0.15">
      <c r="A27" t="s">
        <v>141</v>
      </c>
      <c r="B27" s="4">
        <f>Assumptions!$B$3*Assumptions!$B$4</f>
        <v>1.9233333333333333</v>
      </c>
      <c r="C27" s="3">
        <f>Corpus!C27</f>
        <v>92.07</v>
      </c>
      <c r="D27" s="2">
        <f>Assumptions!$B$5/C27</f>
        <v>0.85043988269794724</v>
      </c>
      <c r="E27" s="4">
        <f t="shared" si="0"/>
        <v>1.6356793743890519</v>
      </c>
      <c r="F27" s="4">
        <f>Assumptions!$B$6</f>
        <v>1.05</v>
      </c>
      <c r="G27" s="4">
        <f t="shared" si="1"/>
        <v>1.7174633431085045</v>
      </c>
      <c r="H27" s="4">
        <f>IF(Corpus!R27="5x",Assumptions!$B$7,Assumptions!$B$8)</f>
        <v>2.99</v>
      </c>
      <c r="I27" s="4">
        <f t="shared" si="2"/>
        <v>5.1352153958944289</v>
      </c>
      <c r="J27" t="str">
        <f>Corpus!Q27</f>
        <v>High</v>
      </c>
      <c r="K27" s="4">
        <f>Corpus!H27</f>
        <v>2.2000000000000002</v>
      </c>
      <c r="L27" s="4">
        <f t="shared" si="3"/>
        <v>11.297473870967744</v>
      </c>
    </row>
    <row r="28" spans="1:12" ht="15.75" customHeight="1" x14ac:dyDescent="0.15">
      <c r="A28" t="s">
        <v>142</v>
      </c>
      <c r="B28" s="4">
        <f>Assumptions!$B$3*Assumptions!$B$4</f>
        <v>1.9233333333333333</v>
      </c>
      <c r="C28" s="3">
        <f>Corpus!C28</f>
        <v>95.16</v>
      </c>
      <c r="D28" s="2">
        <f>Assumptions!$B$5/C28</f>
        <v>0.82282471626733922</v>
      </c>
      <c r="E28" s="4">
        <f t="shared" si="0"/>
        <v>1.5825662042875157</v>
      </c>
      <c r="F28" s="4">
        <f>Assumptions!$B$6</f>
        <v>1.05</v>
      </c>
      <c r="G28" s="4">
        <f t="shared" si="1"/>
        <v>1.6616945145018915</v>
      </c>
      <c r="H28" s="4">
        <f>IF(Corpus!R28="5x",Assumptions!$B$7,Assumptions!$B$8)</f>
        <v>2.99</v>
      </c>
      <c r="I28" s="4">
        <f t="shared" si="2"/>
        <v>4.9684665983606564</v>
      </c>
      <c r="J28" t="str">
        <f>Corpus!Q28</f>
        <v>xHigh</v>
      </c>
      <c r="K28" s="4">
        <f>Corpus!H28</f>
        <v>3.89</v>
      </c>
      <c r="L28" s="4">
        <f t="shared" si="3"/>
        <v>19.327335067622954</v>
      </c>
    </row>
    <row r="29" spans="1:12" ht="15.75" customHeight="1" x14ac:dyDescent="0.15">
      <c r="A29" t="s">
        <v>143</v>
      </c>
      <c r="B29" s="4">
        <f>Assumptions!$B$3*Assumptions!$B$4</f>
        <v>1.9233333333333333</v>
      </c>
      <c r="C29" s="3">
        <f>Corpus!C29</f>
        <v>59.88</v>
      </c>
      <c r="D29" s="2">
        <f>Assumptions!$B$5/C29</f>
        <v>1.3076152304609217</v>
      </c>
      <c r="E29" s="4">
        <f t="shared" si="0"/>
        <v>2.5149799599198395</v>
      </c>
      <c r="F29" s="4">
        <f>Assumptions!$B$6</f>
        <v>1.05</v>
      </c>
      <c r="G29" s="4">
        <f t="shared" si="1"/>
        <v>2.6407289579158317</v>
      </c>
      <c r="H29" s="4">
        <f>IF(Corpus!R29="5x",Assumptions!$B$7,Assumptions!$B$8)</f>
        <v>2.99</v>
      </c>
      <c r="I29" s="4">
        <f t="shared" si="2"/>
        <v>7.8957795841683378</v>
      </c>
      <c r="J29" t="str">
        <f>Corpus!Q29</f>
        <v>Minimal (measured)</v>
      </c>
      <c r="K29" s="4">
        <f>Corpus!H29</f>
        <v>1.71</v>
      </c>
      <c r="L29" s="4">
        <f t="shared" si="3"/>
        <v>13.501783088927857</v>
      </c>
    </row>
    <row r="30" spans="1:12" ht="15.75" customHeight="1" x14ac:dyDescent="0.15">
      <c r="A30" t="s">
        <v>145</v>
      </c>
      <c r="B30" s="4">
        <f>Assumptions!$B$3*Assumptions!$B$4</f>
        <v>1.9233333333333333</v>
      </c>
      <c r="C30" s="3">
        <f>Corpus!C30</f>
        <v>61.38</v>
      </c>
      <c r="D30" s="2">
        <f>Assumptions!$B$5/C30</f>
        <v>1.2756598240469208</v>
      </c>
      <c r="E30" s="4">
        <f t="shared" si="0"/>
        <v>2.4535190615835778</v>
      </c>
      <c r="F30" s="4">
        <f>Assumptions!$B$6</f>
        <v>1.05</v>
      </c>
      <c r="G30" s="4">
        <f t="shared" si="1"/>
        <v>2.5761950146627566</v>
      </c>
      <c r="H30" s="4">
        <f>IF(Corpus!R30="5x",Assumptions!$B$7,Assumptions!$B$8)</f>
        <v>2.99</v>
      </c>
      <c r="I30" s="4">
        <f t="shared" si="2"/>
        <v>7.7028230938416424</v>
      </c>
      <c r="J30" t="str">
        <f>Corpus!Q30</f>
        <v>Low</v>
      </c>
      <c r="K30" s="4">
        <f>Corpus!H30</f>
        <v>1.45</v>
      </c>
      <c r="L30" s="4">
        <f t="shared" si="3"/>
        <v>11.169093486070381</v>
      </c>
    </row>
    <row r="31" spans="1:12" ht="15.75" customHeight="1" x14ac:dyDescent="0.15">
      <c r="A31" t="s">
        <v>146</v>
      </c>
      <c r="B31" s="4">
        <f>Assumptions!$B$3*Assumptions!$B$4</f>
        <v>1.9233333333333333</v>
      </c>
      <c r="C31" s="3">
        <f>Corpus!C31</f>
        <v>60.89</v>
      </c>
      <c r="D31" s="2">
        <f>Assumptions!$B$5/C31</f>
        <v>1.2859254393168007</v>
      </c>
      <c r="E31" s="4">
        <f t="shared" si="0"/>
        <v>2.4732632616193135</v>
      </c>
      <c r="F31" s="4">
        <f>Assumptions!$B$6</f>
        <v>1.05</v>
      </c>
      <c r="G31" s="4">
        <f t="shared" si="1"/>
        <v>2.5969264247002792</v>
      </c>
      <c r="H31" s="4">
        <f>IF(Corpus!R31="5x",Assumptions!$B$7,Assumptions!$B$8)</f>
        <v>2.99</v>
      </c>
      <c r="I31" s="4">
        <f t="shared" si="2"/>
        <v>7.7648100098538357</v>
      </c>
      <c r="J31" t="str">
        <f>Corpus!Q31</f>
        <v>Medium</v>
      </c>
      <c r="K31" s="4">
        <f>Corpus!H31</f>
        <v>1.69</v>
      </c>
      <c r="L31" s="4">
        <f t="shared" si="3"/>
        <v>13.122528916652982</v>
      </c>
    </row>
    <row r="32" spans="1:12" ht="15.75" customHeight="1" x14ac:dyDescent="0.15">
      <c r="A32" t="s">
        <v>147</v>
      </c>
      <c r="B32" s="4">
        <f>Assumptions!$B$3*Assumptions!$B$4</f>
        <v>1.9233333333333333</v>
      </c>
      <c r="C32" s="3">
        <f>Corpus!C32</f>
        <v>60.69</v>
      </c>
      <c r="D32" s="2">
        <f>Assumptions!$B$5/C32</f>
        <v>1.2901631240731586</v>
      </c>
      <c r="E32" s="4">
        <f t="shared" si="0"/>
        <v>2.481413741967375</v>
      </c>
      <c r="F32" s="4">
        <f>Assumptions!$B$6</f>
        <v>1.05</v>
      </c>
      <c r="G32" s="4">
        <f t="shared" si="1"/>
        <v>2.605484429065744</v>
      </c>
      <c r="H32" s="4">
        <f>IF(Corpus!R32="5x",Assumptions!$B$7,Assumptions!$B$8)</f>
        <v>2.99</v>
      </c>
      <c r="I32" s="4">
        <f t="shared" si="2"/>
        <v>7.7903984429065751</v>
      </c>
      <c r="J32" t="str">
        <f>Corpus!Q32</f>
        <v>High</v>
      </c>
      <c r="K32" s="4">
        <f>Corpus!H32</f>
        <v>2.39</v>
      </c>
      <c r="L32" s="4">
        <f t="shared" si="3"/>
        <v>18.619052278546715</v>
      </c>
    </row>
    <row r="33" spans="1:12" ht="15.75" customHeight="1" x14ac:dyDescent="0.15">
      <c r="A33" t="s">
        <v>148</v>
      </c>
      <c r="B33" s="4">
        <f>Assumptions!$B$3*Assumptions!$B$4</f>
        <v>1.9233333333333333</v>
      </c>
      <c r="C33" s="3">
        <f>Corpus!C33</f>
        <v>59.91</v>
      </c>
      <c r="D33" s="2">
        <f>Assumptions!$B$5/C33</f>
        <v>1.3069604406609916</v>
      </c>
      <c r="E33" s="4">
        <f t="shared" si="0"/>
        <v>2.5137205808713072</v>
      </c>
      <c r="F33" s="4">
        <f>Assumptions!$B$6</f>
        <v>1.05</v>
      </c>
      <c r="G33" s="4">
        <f t="shared" si="1"/>
        <v>2.6394066099148725</v>
      </c>
      <c r="H33" s="4">
        <f>IF(Corpus!R33="5x",Assumptions!$B$7,Assumptions!$B$8)</f>
        <v>2.99</v>
      </c>
      <c r="I33" s="4">
        <f t="shared" si="2"/>
        <v>7.8918257636454694</v>
      </c>
      <c r="J33" t="str">
        <f>Corpus!Q33</f>
        <v>xHigh</v>
      </c>
      <c r="K33" s="4">
        <f>Corpus!H33</f>
        <v>2.46</v>
      </c>
      <c r="L33" s="4">
        <f t="shared" si="3"/>
        <v>19.413891378567854</v>
      </c>
    </row>
    <row r="34" spans="1:12" ht="15.75" customHeight="1" x14ac:dyDescent="0.15">
      <c r="A34" t="s">
        <v>149</v>
      </c>
      <c r="B34" s="4">
        <f>Assumptions!$B$3*Assumptions!$B$4</f>
        <v>1.9233333333333333</v>
      </c>
      <c r="C34" s="3">
        <f>Corpus!C34</f>
        <v>129.9</v>
      </c>
      <c r="D34" s="2">
        <f>Assumptions!$B$5/C34</f>
        <v>0.60277136258660502</v>
      </c>
      <c r="E34" s="4">
        <f t="shared" si="0"/>
        <v>1.1593302540415704</v>
      </c>
      <c r="F34" s="4">
        <f>Assumptions!$B$6</f>
        <v>1.05</v>
      </c>
      <c r="G34" s="4">
        <f t="shared" si="1"/>
        <v>1.217296766743649</v>
      </c>
      <c r="H34" s="4">
        <f>IF(Corpus!R34="5x",Assumptions!$B$7,Assumptions!$B$8)</f>
        <v>2.99</v>
      </c>
      <c r="I34" s="4">
        <f t="shared" si="2"/>
        <v>3.6397173325635106</v>
      </c>
      <c r="J34" t="str">
        <f>Corpus!Q34</f>
        <v>Minimal (measured)</v>
      </c>
      <c r="K34" s="4">
        <f>Corpus!H34</f>
        <v>1.6</v>
      </c>
      <c r="L34" s="4">
        <f t="shared" si="3"/>
        <v>5.8235477321016171</v>
      </c>
    </row>
    <row r="35" spans="1:12" ht="15.75" customHeight="1" x14ac:dyDescent="0.15">
      <c r="A35" t="s">
        <v>150</v>
      </c>
      <c r="B35" s="4">
        <f>Assumptions!$B$3*Assumptions!$B$4</f>
        <v>1.9233333333333333</v>
      </c>
      <c r="C35" s="3">
        <f>Corpus!C35</f>
        <v>131.85</v>
      </c>
      <c r="D35" s="2">
        <f>Assumptions!$B$5/C35</f>
        <v>0.59385665529010234</v>
      </c>
      <c r="E35" s="4">
        <f t="shared" si="0"/>
        <v>1.1421843003412968</v>
      </c>
      <c r="F35" s="4">
        <f>Assumptions!$B$6</f>
        <v>1.05</v>
      </c>
      <c r="G35" s="4">
        <f t="shared" si="1"/>
        <v>1.1992935153583617</v>
      </c>
      <c r="H35" s="4">
        <f>IF(Corpus!R35="5x",Assumptions!$B$7,Assumptions!$B$8)</f>
        <v>2.99</v>
      </c>
      <c r="I35" s="4">
        <f t="shared" si="2"/>
        <v>3.5858876109215019</v>
      </c>
      <c r="J35" t="str">
        <f>Corpus!Q35</f>
        <v>Low</v>
      </c>
      <c r="K35" s="4">
        <f>Corpus!H35</f>
        <v>1.43</v>
      </c>
      <c r="L35" s="4">
        <f t="shared" si="3"/>
        <v>5.1278192836177476</v>
      </c>
    </row>
    <row r="36" spans="1:12" ht="15.75" customHeight="1" x14ac:dyDescent="0.15">
      <c r="A36" t="s">
        <v>151</v>
      </c>
      <c r="B36" s="4">
        <f>Assumptions!$B$3*Assumptions!$B$4</f>
        <v>1.9233333333333333</v>
      </c>
      <c r="C36" s="3">
        <f>Corpus!C36</f>
        <v>134.91</v>
      </c>
      <c r="D36" s="2">
        <f>Assumptions!$B$5/C36</f>
        <v>0.58038692461641095</v>
      </c>
      <c r="E36" s="4">
        <f t="shared" si="0"/>
        <v>1.1162775183455638</v>
      </c>
      <c r="F36" s="4">
        <f>Assumptions!$B$6</f>
        <v>1.05</v>
      </c>
      <c r="G36" s="4">
        <f t="shared" si="1"/>
        <v>1.1720913942628419</v>
      </c>
      <c r="H36" s="4">
        <f>IF(Corpus!R36="5x",Assumptions!$B$7,Assumptions!$B$8)</f>
        <v>2.99</v>
      </c>
      <c r="I36" s="4">
        <f t="shared" si="2"/>
        <v>3.5045532688458976</v>
      </c>
      <c r="J36" t="str">
        <f>Corpus!Q36</f>
        <v>Medium</v>
      </c>
      <c r="K36" s="4">
        <f>Corpus!H36</f>
        <v>1.58</v>
      </c>
      <c r="L36" s="4">
        <f t="shared" si="3"/>
        <v>5.5371941647765182</v>
      </c>
    </row>
    <row r="37" spans="1:12" ht="15.75" customHeight="1" x14ac:dyDescent="0.15">
      <c r="A37" t="s">
        <v>152</v>
      </c>
      <c r="B37" s="4">
        <f>Assumptions!$B$3*Assumptions!$B$4</f>
        <v>1.9233333333333333</v>
      </c>
      <c r="C37" s="3">
        <f>Corpus!C37</f>
        <v>133.12</v>
      </c>
      <c r="D37" s="2">
        <f>Assumptions!$B$5/C37</f>
        <v>0.58819110576923073</v>
      </c>
      <c r="E37" s="4">
        <f t="shared" si="0"/>
        <v>1.1312875600961538</v>
      </c>
      <c r="F37" s="4">
        <f>Assumptions!$B$6</f>
        <v>1.05</v>
      </c>
      <c r="G37" s="4">
        <f t="shared" si="1"/>
        <v>1.1878519381009616</v>
      </c>
      <c r="H37" s="4">
        <f>IF(Corpus!R37="5x",Assumptions!$B$7,Assumptions!$B$8)</f>
        <v>2.99</v>
      </c>
      <c r="I37" s="4">
        <f t="shared" si="2"/>
        <v>3.5516772949218756</v>
      </c>
      <c r="J37" t="str">
        <f>Corpus!Q37</f>
        <v>High</v>
      </c>
      <c r="K37" s="4">
        <f>Corpus!H37</f>
        <v>2.1</v>
      </c>
      <c r="L37" s="4">
        <f t="shared" si="3"/>
        <v>7.4585223193359393</v>
      </c>
    </row>
    <row r="38" spans="1:12" ht="15.75" customHeight="1" x14ac:dyDescent="0.15">
      <c r="A38" t="s">
        <v>153</v>
      </c>
      <c r="B38" s="4">
        <f>Assumptions!$B$3*Assumptions!$B$4</f>
        <v>1.9233333333333333</v>
      </c>
      <c r="C38" s="3">
        <f>Corpus!C38</f>
        <v>130.19999999999999</v>
      </c>
      <c r="D38" s="2">
        <f>Assumptions!$B$5/C38</f>
        <v>0.60138248847926268</v>
      </c>
      <c r="E38" s="4">
        <f t="shared" si="0"/>
        <v>1.1566589861751153</v>
      </c>
      <c r="F38" s="4">
        <f>Assumptions!$B$6</f>
        <v>1.05</v>
      </c>
      <c r="G38" s="4">
        <f t="shared" si="1"/>
        <v>1.214491935483871</v>
      </c>
      <c r="H38" s="4">
        <f>IF(Corpus!R38="5x",Assumptions!$B$7,Assumptions!$B$8)</f>
        <v>2.99</v>
      </c>
      <c r="I38" s="4">
        <f t="shared" si="2"/>
        <v>3.6313308870967744</v>
      </c>
      <c r="J38" t="str">
        <f>Corpus!Q38</f>
        <v>xHigh</v>
      </c>
      <c r="K38" s="4">
        <f>Corpus!H38</f>
        <v>2.58</v>
      </c>
      <c r="L38" s="4">
        <f t="shared" si="3"/>
        <v>9.3688336887096781</v>
      </c>
    </row>
    <row r="39" spans="1:12" ht="15.75" customHeight="1" x14ac:dyDescent="0.15">
      <c r="A39" t="s">
        <v>154</v>
      </c>
      <c r="B39" s="4">
        <f>Assumptions!$B$3*Assumptions!$B$4</f>
        <v>1.9233333333333333</v>
      </c>
      <c r="C39" s="3">
        <f>Corpus!C39</f>
        <v>52.91</v>
      </c>
      <c r="D39" s="2">
        <f>Assumptions!$B$5/C39</f>
        <v>1.4798714798714798</v>
      </c>
      <c r="E39" s="4">
        <f t="shared" si="0"/>
        <v>2.8462861462861464</v>
      </c>
      <c r="F39" s="4">
        <f>Assumptions!$B$6</f>
        <v>1.05</v>
      </c>
      <c r="G39" s="4">
        <f t="shared" si="1"/>
        <v>2.988600453600454</v>
      </c>
      <c r="H39" s="4">
        <f>IF(Corpus!R39="5x",Assumptions!$B$7,Assumptions!$B$8)</f>
        <v>2.99</v>
      </c>
      <c r="I39" s="4">
        <f t="shared" si="2"/>
        <v>8.9359153562653582</v>
      </c>
      <c r="J39" t="str">
        <f>Corpus!Q39</f>
        <v>Minimal (measured)</v>
      </c>
      <c r="K39" s="4">
        <f>Corpus!H39</f>
        <v>1.44</v>
      </c>
      <c r="L39" s="4">
        <f t="shared" si="3"/>
        <v>12.867718113022116</v>
      </c>
    </row>
    <row r="40" spans="1:12" ht="15.75" customHeight="1" x14ac:dyDescent="0.15">
      <c r="A40" t="s">
        <v>155</v>
      </c>
      <c r="B40" s="4">
        <f>Assumptions!$B$3*Assumptions!$B$4</f>
        <v>1.9233333333333333</v>
      </c>
      <c r="C40" s="3">
        <f>Corpus!C40</f>
        <v>53.57</v>
      </c>
      <c r="D40" s="2">
        <f>Assumptions!$B$5/C40</f>
        <v>1.4616389770393876</v>
      </c>
      <c r="E40" s="4">
        <f t="shared" si="0"/>
        <v>2.8112189658390889</v>
      </c>
      <c r="F40" s="4">
        <f>Assumptions!$B$6</f>
        <v>1.05</v>
      </c>
      <c r="G40" s="4">
        <f t="shared" si="1"/>
        <v>2.9517799141310435</v>
      </c>
      <c r="H40" s="4">
        <f>IF(Corpus!R40="5x",Assumptions!$B$7,Assumptions!$B$8)</f>
        <v>2.99</v>
      </c>
      <c r="I40" s="4">
        <f t="shared" si="2"/>
        <v>8.825821943251821</v>
      </c>
      <c r="J40" t="str">
        <f>Corpus!Q40</f>
        <v>Low</v>
      </c>
      <c r="K40" s="4">
        <f>Corpus!H40</f>
        <v>1.36</v>
      </c>
      <c r="L40" s="4">
        <f t="shared" si="3"/>
        <v>12.003117842822478</v>
      </c>
    </row>
    <row r="41" spans="1:12" ht="15.75" customHeight="1" x14ac:dyDescent="0.15">
      <c r="A41" t="s">
        <v>156</v>
      </c>
      <c r="B41" s="4">
        <f>Assumptions!$B$3*Assumptions!$B$4</f>
        <v>1.9233333333333333</v>
      </c>
      <c r="C41" s="3">
        <f>Corpus!C41</f>
        <v>53.64</v>
      </c>
      <c r="D41" s="2">
        <f>Assumptions!$B$5/C41</f>
        <v>1.4597315436241609</v>
      </c>
      <c r="E41" s="4">
        <f t="shared" si="0"/>
        <v>2.8075503355704696</v>
      </c>
      <c r="F41" s="4">
        <f>Assumptions!$B$6</f>
        <v>1.05</v>
      </c>
      <c r="G41" s="4">
        <f t="shared" si="1"/>
        <v>2.9479278523489931</v>
      </c>
      <c r="H41" s="4">
        <f>IF(Corpus!R41="5x",Assumptions!$B$7,Assumptions!$B$8)</f>
        <v>2.99</v>
      </c>
      <c r="I41" s="4">
        <f t="shared" si="2"/>
        <v>8.8143042785234904</v>
      </c>
      <c r="J41" t="str">
        <f>Corpus!Q41</f>
        <v>Medium</v>
      </c>
      <c r="K41" s="4">
        <f>Corpus!H41</f>
        <v>1.47</v>
      </c>
      <c r="L41" s="4">
        <f t="shared" si="3"/>
        <v>12.957027289429531</v>
      </c>
    </row>
    <row r="42" spans="1:12" ht="15.75" customHeight="1" x14ac:dyDescent="0.15">
      <c r="A42" t="s">
        <v>157</v>
      </c>
      <c r="B42" s="4">
        <f>Assumptions!$B$3*Assumptions!$B$4</f>
        <v>1.9233333333333333</v>
      </c>
      <c r="C42" s="3">
        <f>Corpus!C42</f>
        <v>53.63</v>
      </c>
      <c r="D42" s="2">
        <f>Assumptions!$B$5/C42</f>
        <v>1.4600037292560133</v>
      </c>
      <c r="E42" s="4">
        <f t="shared" si="0"/>
        <v>2.8080738392690656</v>
      </c>
      <c r="F42" s="4">
        <f>Assumptions!$B$6</f>
        <v>1.05</v>
      </c>
      <c r="G42" s="4">
        <f t="shared" si="1"/>
        <v>2.9484775312325189</v>
      </c>
      <c r="H42" s="4">
        <f>IF(Corpus!R42="5x",Assumptions!$B$7,Assumptions!$B$8)</f>
        <v>2.99</v>
      </c>
      <c r="I42" s="4">
        <f t="shared" si="2"/>
        <v>8.8159478183852329</v>
      </c>
      <c r="J42" t="str">
        <f>Corpus!Q42</f>
        <v>High</v>
      </c>
      <c r="K42" s="4">
        <f>Corpus!H42</f>
        <v>1.64</v>
      </c>
      <c r="L42" s="4">
        <f t="shared" si="3"/>
        <v>14.458154422151781</v>
      </c>
    </row>
    <row r="43" spans="1:12" ht="15.75" customHeight="1" x14ac:dyDescent="0.15">
      <c r="A43" t="s">
        <v>158</v>
      </c>
      <c r="B43" s="4">
        <f>Assumptions!$B$3*Assumptions!$B$4</f>
        <v>1.9233333333333333</v>
      </c>
      <c r="C43" s="3">
        <f>Corpus!C43</f>
        <v>55.21</v>
      </c>
      <c r="D43" s="2">
        <f>Assumptions!$B$5/C43</f>
        <v>1.4182213367143632</v>
      </c>
      <c r="E43" s="4">
        <f t="shared" si="0"/>
        <v>2.7277123709472919</v>
      </c>
      <c r="F43" s="4">
        <f>Assumptions!$B$6</f>
        <v>1.05</v>
      </c>
      <c r="G43" s="4">
        <f t="shared" si="1"/>
        <v>2.8640979894946565</v>
      </c>
      <c r="H43" s="4">
        <f>IF(Corpus!R43="5x",Assumptions!$B$7,Assumptions!$B$8)</f>
        <v>2.99</v>
      </c>
      <c r="I43" s="4">
        <f t="shared" si="2"/>
        <v>8.5636529885890234</v>
      </c>
      <c r="J43" t="str">
        <f>Corpus!Q43</f>
        <v>xHigh</v>
      </c>
      <c r="K43" s="4">
        <f>Corpus!H43</f>
        <v>1.91</v>
      </c>
      <c r="L43" s="4">
        <f t="shared" si="3"/>
        <v>16.356577208205035</v>
      </c>
    </row>
    <row r="44" spans="1:12" ht="15.75" customHeight="1" x14ac:dyDescent="0.15">
      <c r="A44" t="s">
        <v>159</v>
      </c>
      <c r="B44" s="4">
        <f>Assumptions!$B$3*Assumptions!$B$4</f>
        <v>1.9233333333333333</v>
      </c>
      <c r="C44" s="3">
        <f>Corpus!C44</f>
        <v>55.21</v>
      </c>
      <c r="D44" s="2">
        <f>Assumptions!$B$5/C44</f>
        <v>1.4182213367143632</v>
      </c>
      <c r="E44" s="4">
        <f t="shared" si="0"/>
        <v>2.7277123709472919</v>
      </c>
      <c r="F44" s="4">
        <f>Assumptions!$B$6</f>
        <v>1.05</v>
      </c>
      <c r="G44" s="4">
        <f t="shared" si="1"/>
        <v>2.8640979894946565</v>
      </c>
      <c r="H44" s="4">
        <f>IF(Corpus!R44="5x",Assumptions!$B$7,Assumptions!$B$8)</f>
        <v>2.99</v>
      </c>
      <c r="I44" s="4">
        <f t="shared" si="2"/>
        <v>8.5636529885890234</v>
      </c>
      <c r="J44" t="str">
        <f>Corpus!Q44</f>
        <v>Max (floor)</v>
      </c>
      <c r="K44" s="4">
        <f>Corpus!H44</f>
        <v>1.91</v>
      </c>
      <c r="L44" s="4">
        <f t="shared" si="3"/>
        <v>16.356577208205035</v>
      </c>
    </row>
    <row r="45" spans="1:12" ht="15.75" customHeight="1" x14ac:dyDescent="0.15">
      <c r="A45" t="s">
        <v>161</v>
      </c>
      <c r="B45" s="4">
        <f>Assumptions!$B$3*Assumptions!$B$4</f>
        <v>1.9233333333333333</v>
      </c>
      <c r="C45" s="3">
        <f>Corpus!C45</f>
        <v>96.85</v>
      </c>
      <c r="D45" s="2">
        <f>Assumptions!$B$5/C45</f>
        <v>0.80846670108415075</v>
      </c>
      <c r="E45" s="4">
        <f t="shared" si="0"/>
        <v>1.5549509550851832</v>
      </c>
      <c r="F45" s="4">
        <f>Assumptions!$B$6</f>
        <v>1.05</v>
      </c>
      <c r="G45" s="4">
        <f t="shared" si="1"/>
        <v>1.6326985028394425</v>
      </c>
      <c r="H45" s="4">
        <f>IF(Corpus!R45="5x",Assumptions!$B$7,Assumptions!$B$8)</f>
        <v>2.99</v>
      </c>
      <c r="I45" s="4">
        <f t="shared" si="2"/>
        <v>4.8817685234899333</v>
      </c>
      <c r="J45" t="str">
        <f>Corpus!Q45</f>
        <v>Minimal (measured)</v>
      </c>
      <c r="K45" s="4">
        <f>Corpus!H45</f>
        <v>1.38</v>
      </c>
      <c r="L45" s="4">
        <f t="shared" si="3"/>
        <v>6.7368405624161074</v>
      </c>
    </row>
    <row r="46" spans="1:12" ht="15.75" customHeight="1" x14ac:dyDescent="0.15">
      <c r="A46" t="s">
        <v>162</v>
      </c>
      <c r="B46" s="4">
        <f>Assumptions!$B$3*Assumptions!$B$4</f>
        <v>1.9233333333333333</v>
      </c>
      <c r="C46" s="3">
        <f>Corpus!C46</f>
        <v>93.61</v>
      </c>
      <c r="D46" s="2">
        <f>Assumptions!$B$5/C46</f>
        <v>0.83644909731866246</v>
      </c>
      <c r="E46" s="4">
        <f t="shared" si="0"/>
        <v>1.6087704305095607</v>
      </c>
      <c r="F46" s="4">
        <f>Assumptions!$B$6</f>
        <v>1.05</v>
      </c>
      <c r="G46" s="4">
        <f t="shared" si="1"/>
        <v>1.6892089520350388</v>
      </c>
      <c r="H46" s="4">
        <f>IF(Corpus!R46="5x",Assumptions!$B$7,Assumptions!$B$8)</f>
        <v>2.99</v>
      </c>
      <c r="I46" s="4">
        <f t="shared" si="2"/>
        <v>5.0507347665847666</v>
      </c>
      <c r="J46" t="str">
        <f>Corpus!Q46</f>
        <v>Low</v>
      </c>
      <c r="K46" s="4">
        <f>Corpus!H46</f>
        <v>1.36</v>
      </c>
      <c r="L46" s="4">
        <f t="shared" si="3"/>
        <v>6.8689992825552828</v>
      </c>
    </row>
    <row r="47" spans="1:12" ht="15.75" customHeight="1" x14ac:dyDescent="0.15">
      <c r="A47" t="s">
        <v>163</v>
      </c>
      <c r="B47" s="4">
        <f>Assumptions!$B$3*Assumptions!$B$4</f>
        <v>1.9233333333333333</v>
      </c>
      <c r="C47" s="3">
        <f>Corpus!C47</f>
        <v>94.86</v>
      </c>
      <c r="D47" s="2">
        <f>Assumptions!$B$5/C47</f>
        <v>0.82542694497153701</v>
      </c>
      <c r="E47" s="4">
        <f t="shared" si="0"/>
        <v>1.5875711574952562</v>
      </c>
      <c r="F47" s="4">
        <f>Assumptions!$B$6</f>
        <v>1.05</v>
      </c>
      <c r="G47" s="4">
        <f t="shared" si="1"/>
        <v>1.666949715370019</v>
      </c>
      <c r="H47" s="4">
        <f>IF(Corpus!R47="5x",Assumptions!$B$7,Assumptions!$B$8)</f>
        <v>2.99</v>
      </c>
      <c r="I47" s="4">
        <f t="shared" si="2"/>
        <v>4.9841796489563572</v>
      </c>
      <c r="J47" t="str">
        <f>Corpus!Q47</f>
        <v>Medium</v>
      </c>
      <c r="K47" s="4">
        <f>Corpus!H47</f>
        <v>1.37</v>
      </c>
      <c r="L47" s="4">
        <f t="shared" si="3"/>
        <v>6.8283261190702103</v>
      </c>
    </row>
    <row r="48" spans="1:12" ht="15.75" customHeight="1" x14ac:dyDescent="0.15">
      <c r="A48" t="s">
        <v>164</v>
      </c>
      <c r="B48" s="4">
        <f>Assumptions!$B$3*Assumptions!$B$4</f>
        <v>1.9233333333333333</v>
      </c>
      <c r="C48" s="3">
        <f>Corpus!C48</f>
        <v>95.52</v>
      </c>
      <c r="D48" s="2">
        <f>Assumptions!$B$5/C48</f>
        <v>0.81972361809045224</v>
      </c>
      <c r="E48" s="4">
        <f t="shared" si="0"/>
        <v>1.5766017587939698</v>
      </c>
      <c r="F48" s="4">
        <f>Assumptions!$B$6</f>
        <v>1.05</v>
      </c>
      <c r="G48" s="4">
        <f t="shared" si="1"/>
        <v>1.6554318467336684</v>
      </c>
      <c r="H48" s="4">
        <f>IF(Corpus!R48="5x",Assumptions!$B$7,Assumptions!$B$8)</f>
        <v>2.99</v>
      </c>
      <c r="I48" s="4">
        <f t="shared" si="2"/>
        <v>4.9497412217336691</v>
      </c>
      <c r="J48" t="str">
        <f>Corpus!Q48</f>
        <v>High</v>
      </c>
      <c r="K48" s="4">
        <f>Corpus!H48</f>
        <v>1.45</v>
      </c>
      <c r="L48" s="4">
        <f t="shared" si="3"/>
        <v>7.17712477151382</v>
      </c>
    </row>
    <row r="49" spans="1:12" ht="15.75" customHeight="1" x14ac:dyDescent="0.15">
      <c r="A49" t="s">
        <v>165</v>
      </c>
      <c r="B49" s="4">
        <f>Assumptions!$B$3*Assumptions!$B$4</f>
        <v>1.9233333333333333</v>
      </c>
      <c r="C49" s="3">
        <f>Corpus!C49</f>
        <v>95.22</v>
      </c>
      <c r="D49" s="2">
        <f>Assumptions!$B$5/C49</f>
        <v>0.82230623818525517</v>
      </c>
      <c r="E49" s="4">
        <f t="shared" si="0"/>
        <v>1.5815689981096408</v>
      </c>
      <c r="F49" s="4">
        <f>Assumptions!$B$6</f>
        <v>1.05</v>
      </c>
      <c r="G49" s="4">
        <f t="shared" si="1"/>
        <v>1.660647448015123</v>
      </c>
      <c r="H49" s="4">
        <f>IF(Corpus!R49="5x",Assumptions!$B$7,Assumptions!$B$8)</f>
        <v>2.99</v>
      </c>
      <c r="I49" s="4">
        <f t="shared" si="2"/>
        <v>4.9653358695652177</v>
      </c>
      <c r="J49" t="str">
        <f>Corpus!Q49</f>
        <v>xHigh</v>
      </c>
      <c r="K49" s="4">
        <f>Corpus!H49</f>
        <v>1.68</v>
      </c>
      <c r="L49" s="4">
        <f t="shared" si="3"/>
        <v>8.3417642608695655</v>
      </c>
    </row>
    <row r="50" spans="1:12" ht="15.75" customHeight="1" x14ac:dyDescent="0.15"/>
    <row r="51" spans="1:12" ht="15.75" customHeight="1" x14ac:dyDescent="0.15">
      <c r="A51" t="s">
        <v>179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9"/>
  <sheetViews>
    <sheetView zoomScaleNormal="100" workbookViewId="0"/>
  </sheetViews>
  <sheetFormatPr baseColWidth="10" defaultColWidth="14.5" defaultRowHeight="15" customHeight="1" x14ac:dyDescent="0.15"/>
  <cols>
    <col min="1" max="1" width="26" customWidth="1"/>
    <col min="2" max="2" width="20" customWidth="1"/>
    <col min="3" max="4" width="12" customWidth="1"/>
    <col min="5" max="7" width="26" customWidth="1"/>
  </cols>
  <sheetData>
    <row r="1" spans="1:7" ht="15" customHeight="1" x14ac:dyDescent="0.15">
      <c r="A1" s="1" t="s">
        <v>334</v>
      </c>
    </row>
    <row r="2" spans="1:7" ht="15" customHeight="1" x14ac:dyDescent="0.15">
      <c r="A2" s="1" t="s">
        <v>167</v>
      </c>
      <c r="B2" s="1" t="s">
        <v>178</v>
      </c>
      <c r="C2" s="1" t="s">
        <v>180</v>
      </c>
      <c r="D2" s="1" t="s">
        <v>181</v>
      </c>
      <c r="E2" s="1" t="s">
        <v>182</v>
      </c>
      <c r="F2" s="1" t="s">
        <v>183</v>
      </c>
      <c r="G2" s="1" t="s">
        <v>184</v>
      </c>
    </row>
    <row r="3" spans="1:7" ht="15" customHeight="1" x14ac:dyDescent="0.15">
      <c r="A3" t="s">
        <v>105</v>
      </c>
      <c r="B3" s="4">
        <f>'Table 6'!L3</f>
        <v>2.0195000000000003</v>
      </c>
      <c r="C3" s="2">
        <f>Assumptions!$B$9</f>
        <v>0.35299999999999998</v>
      </c>
      <c r="D3" s="5">
        <f>Assumptions!$B$10</f>
        <v>5.16E-2</v>
      </c>
      <c r="E3" s="4">
        <f t="shared" ref="E3:E49" si="0">B3*C3</f>
        <v>0.71288350000000011</v>
      </c>
      <c r="F3" s="4">
        <f t="shared" ref="F3:F49" si="1">B3*D3</f>
        <v>0.10420620000000001</v>
      </c>
      <c r="G3" s="4">
        <f>B3*Assumptions!$B$21</f>
        <v>0.32089855000000006</v>
      </c>
    </row>
    <row r="4" spans="1:7" ht="15" customHeight="1" x14ac:dyDescent="0.15">
      <c r="A4" t="s">
        <v>108</v>
      </c>
      <c r="B4" s="4">
        <f>'Table 6'!L4</f>
        <v>7.7788628084896345</v>
      </c>
      <c r="C4" s="2">
        <f>Assumptions!$B$9</f>
        <v>0.35299999999999998</v>
      </c>
      <c r="D4" s="5">
        <f>Assumptions!$B$10</f>
        <v>5.16E-2</v>
      </c>
      <c r="E4" s="4">
        <f t="shared" si="0"/>
        <v>2.7459385713968407</v>
      </c>
      <c r="F4" s="4">
        <f t="shared" si="1"/>
        <v>0.40138932091806512</v>
      </c>
      <c r="G4" s="4">
        <f>B4*Assumptions!$B$21</f>
        <v>1.2360613002690031</v>
      </c>
    </row>
    <row r="5" spans="1:7" ht="15" customHeight="1" x14ac:dyDescent="0.15">
      <c r="A5" t="s">
        <v>111</v>
      </c>
      <c r="B5" s="4">
        <f>'Table 6'!L5</f>
        <v>17.284301602377052</v>
      </c>
      <c r="C5" s="2">
        <f>Assumptions!$B$9</f>
        <v>0.35299999999999998</v>
      </c>
      <c r="D5" s="5">
        <f>Assumptions!$B$10</f>
        <v>5.16E-2</v>
      </c>
      <c r="E5" s="4">
        <f t="shared" si="0"/>
        <v>6.1013584656390991</v>
      </c>
      <c r="F5" s="4">
        <f t="shared" si="1"/>
        <v>0.89186996268265595</v>
      </c>
      <c r="G5" s="4">
        <f>B5*Assumptions!$B$21</f>
        <v>2.7464755246177139</v>
      </c>
    </row>
    <row r="6" spans="1:7" ht="15" customHeight="1" x14ac:dyDescent="0.15">
      <c r="A6" t="s">
        <v>113</v>
      </c>
      <c r="B6" s="4">
        <f>'Table 6'!L6</f>
        <v>28.604840727272727</v>
      </c>
      <c r="C6" s="2">
        <f>Assumptions!$B$9</f>
        <v>0.35299999999999998</v>
      </c>
      <c r="D6" s="5">
        <f>Assumptions!$B$10</f>
        <v>5.16E-2</v>
      </c>
      <c r="E6" s="4">
        <f t="shared" si="0"/>
        <v>10.097508776727272</v>
      </c>
      <c r="F6" s="4">
        <f t="shared" si="1"/>
        <v>1.4760097815272728</v>
      </c>
      <c r="G6" s="4">
        <f>B6*Assumptions!$B$21</f>
        <v>4.5453091915636366</v>
      </c>
    </row>
    <row r="7" spans="1:7" ht="15" customHeight="1" x14ac:dyDescent="0.15">
      <c r="A7" t="s">
        <v>115</v>
      </c>
      <c r="B7" s="4">
        <f>'Table 6'!L7</f>
        <v>41.935240619999995</v>
      </c>
      <c r="C7" s="2">
        <f>Assumptions!$B$9</f>
        <v>0.35299999999999998</v>
      </c>
      <c r="D7" s="5">
        <f>Assumptions!$B$10</f>
        <v>5.16E-2</v>
      </c>
      <c r="E7" s="4">
        <f t="shared" si="0"/>
        <v>14.803139938859998</v>
      </c>
      <c r="F7" s="4">
        <f t="shared" si="1"/>
        <v>2.1638584159919998</v>
      </c>
      <c r="G7" s="4">
        <f>B7*Assumptions!$B$21</f>
        <v>6.6635097345179997</v>
      </c>
    </row>
    <row r="8" spans="1:7" ht="15" customHeight="1" x14ac:dyDescent="0.15">
      <c r="A8" t="s">
        <v>117</v>
      </c>
      <c r="B8" s="4">
        <f>'Table 6'!L8</f>
        <v>28.666084165319322</v>
      </c>
      <c r="C8" s="2">
        <f>Assumptions!$B$9</f>
        <v>0.35299999999999998</v>
      </c>
      <c r="D8" s="5">
        <f>Assumptions!$B$10</f>
        <v>5.16E-2</v>
      </c>
      <c r="E8" s="4">
        <f t="shared" si="0"/>
        <v>10.11912771035772</v>
      </c>
      <c r="F8" s="4">
        <f t="shared" si="1"/>
        <v>1.479169942930477</v>
      </c>
      <c r="G8" s="4">
        <f>B8*Assumptions!$B$21</f>
        <v>4.5550407738692407</v>
      </c>
    </row>
    <row r="9" spans="1:7" ht="15" customHeight="1" x14ac:dyDescent="0.15">
      <c r="A9" t="s">
        <v>119</v>
      </c>
      <c r="B9" s="4">
        <f>'Table 6'!L9</f>
        <v>7.8407841044776125</v>
      </c>
      <c r="C9" s="2">
        <f>Assumptions!$B$9</f>
        <v>0.35299999999999998</v>
      </c>
      <c r="D9" s="5">
        <f>Assumptions!$B$10</f>
        <v>5.16E-2</v>
      </c>
      <c r="E9" s="4">
        <f t="shared" si="0"/>
        <v>2.767796788880597</v>
      </c>
      <c r="F9" s="4">
        <f t="shared" si="1"/>
        <v>0.40458445979104479</v>
      </c>
      <c r="G9" s="4">
        <f>B9*Assumptions!$B$21</f>
        <v>1.2459005942014927</v>
      </c>
    </row>
    <row r="10" spans="1:7" ht="15" customHeight="1" x14ac:dyDescent="0.15">
      <c r="A10" t="s">
        <v>121</v>
      </c>
      <c r="B10" s="4">
        <f>'Table 6'!L10</f>
        <v>13.724575006170692</v>
      </c>
      <c r="C10" s="2">
        <f>Assumptions!$B$9</f>
        <v>0.35299999999999998</v>
      </c>
      <c r="D10" s="5">
        <f>Assumptions!$B$10</f>
        <v>5.16E-2</v>
      </c>
      <c r="E10" s="4">
        <f t="shared" si="0"/>
        <v>4.844774977178254</v>
      </c>
      <c r="F10" s="4">
        <f t="shared" si="1"/>
        <v>0.70818807031840769</v>
      </c>
      <c r="G10" s="4">
        <f>B10*Assumptions!$B$21</f>
        <v>2.1808349684805233</v>
      </c>
    </row>
    <row r="11" spans="1:7" ht="15" customHeight="1" x14ac:dyDescent="0.15">
      <c r="A11" t="s">
        <v>122</v>
      </c>
      <c r="B11" s="4">
        <f>'Table 6'!L11</f>
        <v>15.056259570093459</v>
      </c>
      <c r="C11" s="2">
        <f>Assumptions!$B$9</f>
        <v>0.35299999999999998</v>
      </c>
      <c r="D11" s="5">
        <f>Assumptions!$B$10</f>
        <v>5.16E-2</v>
      </c>
      <c r="E11" s="4">
        <f t="shared" si="0"/>
        <v>5.3148596282429912</v>
      </c>
      <c r="F11" s="4">
        <f t="shared" si="1"/>
        <v>0.77690299381682248</v>
      </c>
      <c r="G11" s="4">
        <f>B11*Assumptions!$B$21</f>
        <v>2.3924396456878507</v>
      </c>
    </row>
    <row r="12" spans="1:7" ht="15" customHeight="1" x14ac:dyDescent="0.15">
      <c r="A12" t="s">
        <v>123</v>
      </c>
      <c r="B12" s="4">
        <f>'Table 6'!L12</f>
        <v>16.811745339726748</v>
      </c>
      <c r="C12" s="2">
        <f>Assumptions!$B$9</f>
        <v>0.35299999999999998</v>
      </c>
      <c r="D12" s="5">
        <f>Assumptions!$B$10</f>
        <v>5.16E-2</v>
      </c>
      <c r="E12" s="4">
        <f t="shared" si="0"/>
        <v>5.934546104923542</v>
      </c>
      <c r="F12" s="4">
        <f t="shared" si="1"/>
        <v>0.86748605952990021</v>
      </c>
      <c r="G12" s="4">
        <f>B12*Assumptions!$B$21</f>
        <v>2.6713863344825803</v>
      </c>
    </row>
    <row r="13" spans="1:7" ht="15" customHeight="1" x14ac:dyDescent="0.15">
      <c r="A13" t="s">
        <v>124</v>
      </c>
      <c r="B13" s="4">
        <f>'Table 6'!L13</f>
        <v>25.634175558679914</v>
      </c>
      <c r="C13" s="2">
        <f>Assumptions!$B$9</f>
        <v>0.35299999999999998</v>
      </c>
      <c r="D13" s="5">
        <f>Assumptions!$B$10</f>
        <v>5.16E-2</v>
      </c>
      <c r="E13" s="4">
        <f t="shared" si="0"/>
        <v>9.0488639722140096</v>
      </c>
      <c r="F13" s="4">
        <f t="shared" si="1"/>
        <v>1.3227234588278836</v>
      </c>
      <c r="G13" s="4">
        <f>B13*Assumptions!$B$21</f>
        <v>4.0732704962742385</v>
      </c>
    </row>
    <row r="14" spans="1:7" ht="15" customHeight="1" x14ac:dyDescent="0.15">
      <c r="A14" t="s">
        <v>125</v>
      </c>
      <c r="B14" s="4">
        <f>'Table 6'!L14</f>
        <v>3.0195381370545404</v>
      </c>
      <c r="C14" s="2">
        <f>Assumptions!$B$9</f>
        <v>0.35299999999999998</v>
      </c>
      <c r="D14" s="5">
        <f>Assumptions!$B$10</f>
        <v>5.16E-2</v>
      </c>
      <c r="E14" s="4">
        <f t="shared" si="0"/>
        <v>1.0658969623802528</v>
      </c>
      <c r="F14" s="4">
        <f t="shared" si="1"/>
        <v>0.15580816787201429</v>
      </c>
      <c r="G14" s="4">
        <f>B14*Assumptions!$B$21</f>
        <v>0.47980460997796653</v>
      </c>
    </row>
    <row r="15" spans="1:7" ht="15" customHeight="1" x14ac:dyDescent="0.15">
      <c r="A15" t="s">
        <v>127</v>
      </c>
      <c r="B15" s="4">
        <f>'Table 6'!L15</f>
        <v>4.9729329275168235</v>
      </c>
      <c r="C15" s="2">
        <f>Assumptions!$B$9</f>
        <v>0.35299999999999998</v>
      </c>
      <c r="D15" s="5">
        <f>Assumptions!$B$10</f>
        <v>5.16E-2</v>
      </c>
      <c r="E15" s="4">
        <f t="shared" si="0"/>
        <v>1.7554453234134386</v>
      </c>
      <c r="F15" s="4">
        <f t="shared" si="1"/>
        <v>0.2566033390598681</v>
      </c>
      <c r="G15" s="4">
        <f>B15*Assumptions!$B$21</f>
        <v>0.79019904218242332</v>
      </c>
    </row>
    <row r="16" spans="1:7" ht="15" customHeight="1" x14ac:dyDescent="0.15">
      <c r="A16" t="s">
        <v>128</v>
      </c>
      <c r="B16" s="4">
        <f>'Table 6'!L16</f>
        <v>5.5462992637500008</v>
      </c>
      <c r="C16" s="2">
        <f>Assumptions!$B$9</f>
        <v>0.35299999999999998</v>
      </c>
      <c r="D16" s="5">
        <f>Assumptions!$B$10</f>
        <v>5.16E-2</v>
      </c>
      <c r="E16" s="4">
        <f t="shared" si="0"/>
        <v>1.9578436401037502</v>
      </c>
      <c r="F16" s="4">
        <f t="shared" si="1"/>
        <v>0.28618904200950002</v>
      </c>
      <c r="G16" s="4">
        <f>B16*Assumptions!$B$21</f>
        <v>0.88130695300987516</v>
      </c>
    </row>
    <row r="17" spans="1:7" ht="15" customHeight="1" x14ac:dyDescent="0.15">
      <c r="A17" t="s">
        <v>129</v>
      </c>
      <c r="B17" s="4">
        <f>'Table 6'!L17</f>
        <v>5.914870035911604</v>
      </c>
      <c r="C17" s="2">
        <f>Assumptions!$B$9</f>
        <v>0.35299999999999998</v>
      </c>
      <c r="D17" s="5">
        <f>Assumptions!$B$10</f>
        <v>5.16E-2</v>
      </c>
      <c r="E17" s="4">
        <f t="shared" si="0"/>
        <v>2.0879491226767959</v>
      </c>
      <c r="F17" s="4">
        <f t="shared" si="1"/>
        <v>0.30520729385303874</v>
      </c>
      <c r="G17" s="4">
        <f>B17*Assumptions!$B$21</f>
        <v>0.9398728487063539</v>
      </c>
    </row>
    <row r="18" spans="1:7" ht="15" customHeight="1" x14ac:dyDescent="0.15">
      <c r="A18" t="s">
        <v>130</v>
      </c>
      <c r="B18" s="4">
        <f>'Table 6'!L18</f>
        <v>11.33223645494591</v>
      </c>
      <c r="C18" s="2">
        <f>Assumptions!$B$9</f>
        <v>0.35299999999999998</v>
      </c>
      <c r="D18" s="5">
        <f>Assumptions!$B$10</f>
        <v>5.16E-2</v>
      </c>
      <c r="E18" s="4">
        <f t="shared" si="0"/>
        <v>4.000279468595906</v>
      </c>
      <c r="F18" s="4">
        <f t="shared" si="1"/>
        <v>0.58474340107520895</v>
      </c>
      <c r="G18" s="4">
        <f>B18*Assumptions!$B$21</f>
        <v>1.8006923726909052</v>
      </c>
    </row>
    <row r="19" spans="1:7" ht="15" customHeight="1" x14ac:dyDescent="0.15">
      <c r="A19" t="s">
        <v>131</v>
      </c>
      <c r="B19" s="4">
        <f>'Table 6'!L19</f>
        <v>3.2514908293789975</v>
      </c>
      <c r="C19" s="2">
        <f>Assumptions!$B$9</f>
        <v>0.35299999999999998</v>
      </c>
      <c r="D19" s="5">
        <f>Assumptions!$B$10</f>
        <v>5.16E-2</v>
      </c>
      <c r="E19" s="4">
        <f t="shared" si="0"/>
        <v>1.1477762627707861</v>
      </c>
      <c r="F19" s="4">
        <f t="shared" si="1"/>
        <v>0.16777692679595627</v>
      </c>
      <c r="G19" s="4">
        <f>B19*Assumptions!$B$21</f>
        <v>0.51666189278832275</v>
      </c>
    </row>
    <row r="20" spans="1:7" ht="15" customHeight="1" x14ac:dyDescent="0.15">
      <c r="A20" t="s">
        <v>133</v>
      </c>
      <c r="B20" s="4">
        <f>'Table 6'!L20</f>
        <v>4.9107830738603591</v>
      </c>
      <c r="C20" s="2">
        <f>Assumptions!$B$9</f>
        <v>0.35299999999999998</v>
      </c>
      <c r="D20" s="5">
        <f>Assumptions!$B$10</f>
        <v>5.16E-2</v>
      </c>
      <c r="E20" s="4">
        <f t="shared" si="0"/>
        <v>1.7335064250727066</v>
      </c>
      <c r="F20" s="4">
        <f t="shared" si="1"/>
        <v>0.2533964066111945</v>
      </c>
      <c r="G20" s="4">
        <f>B20*Assumptions!$B$21</f>
        <v>0.78032343043641117</v>
      </c>
    </row>
    <row r="21" spans="1:7" ht="15.75" customHeight="1" x14ac:dyDescent="0.15">
      <c r="A21" t="s">
        <v>134</v>
      </c>
      <c r="B21" s="4">
        <f>'Table 6'!L21</f>
        <v>5.6145545054753612</v>
      </c>
      <c r="C21" s="2">
        <f>Assumptions!$B$9</f>
        <v>0.35299999999999998</v>
      </c>
      <c r="D21" s="5">
        <f>Assumptions!$B$10</f>
        <v>5.16E-2</v>
      </c>
      <c r="E21" s="4">
        <f t="shared" si="0"/>
        <v>1.9819377404328025</v>
      </c>
      <c r="F21" s="4">
        <f t="shared" si="1"/>
        <v>0.28971101248252862</v>
      </c>
      <c r="G21" s="4">
        <f>B21*Assumptions!$B$21</f>
        <v>0.89215271092003501</v>
      </c>
    </row>
    <row r="22" spans="1:7" ht="15.75" customHeight="1" x14ac:dyDescent="0.15">
      <c r="A22" t="s">
        <v>135</v>
      </c>
      <c r="B22" s="4">
        <f>'Table 6'!L22</f>
        <v>9.6577699646567474</v>
      </c>
      <c r="C22" s="2">
        <f>Assumptions!$B$9</f>
        <v>0.35299999999999998</v>
      </c>
      <c r="D22" s="5">
        <f>Assumptions!$B$10</f>
        <v>5.16E-2</v>
      </c>
      <c r="E22" s="4">
        <f t="shared" si="0"/>
        <v>3.4091927975238319</v>
      </c>
      <c r="F22" s="4">
        <f t="shared" si="1"/>
        <v>0.49834093017628817</v>
      </c>
      <c r="G22" s="4">
        <f>B22*Assumptions!$B$21</f>
        <v>1.5346196473839573</v>
      </c>
    </row>
    <row r="23" spans="1:7" ht="15.75" customHeight="1" x14ac:dyDescent="0.15">
      <c r="A23" t="s">
        <v>136</v>
      </c>
      <c r="B23" s="4">
        <f>'Table 6'!L23</f>
        <v>40.508046549149405</v>
      </c>
      <c r="C23" s="2">
        <f>Assumptions!$B$9</f>
        <v>0.35299999999999998</v>
      </c>
      <c r="D23" s="5">
        <f>Assumptions!$B$10</f>
        <v>5.16E-2</v>
      </c>
      <c r="E23" s="4">
        <f t="shared" si="0"/>
        <v>14.299340431849739</v>
      </c>
      <c r="F23" s="4">
        <f t="shared" si="1"/>
        <v>2.0902152019361093</v>
      </c>
      <c r="G23" s="4">
        <f>B23*Assumptions!$B$21</f>
        <v>6.4367285966598411</v>
      </c>
    </row>
    <row r="24" spans="1:7" ht="15.75" customHeight="1" x14ac:dyDescent="0.15">
      <c r="A24" t="s">
        <v>137</v>
      </c>
      <c r="B24" s="4">
        <f>'Table 6'!L24</f>
        <v>5.5015043227833376</v>
      </c>
      <c r="C24" s="2">
        <f>Assumptions!$B$9</f>
        <v>0.35299999999999998</v>
      </c>
      <c r="D24" s="5">
        <f>Assumptions!$B$10</f>
        <v>5.16E-2</v>
      </c>
      <c r="E24" s="4">
        <f t="shared" si="0"/>
        <v>1.942031025942518</v>
      </c>
      <c r="F24" s="4">
        <f t="shared" si="1"/>
        <v>0.2838776230556202</v>
      </c>
      <c r="G24" s="4">
        <f>B24*Assumptions!$B$21</f>
        <v>0.87418903689027239</v>
      </c>
    </row>
    <row r="25" spans="1:7" ht="15.75" customHeight="1" x14ac:dyDescent="0.15">
      <c r="A25" t="s">
        <v>139</v>
      </c>
      <c r="B25" s="4">
        <f>'Table 6'!L25</f>
        <v>6.9643102021276606</v>
      </c>
      <c r="C25" s="2">
        <f>Assumptions!$B$9</f>
        <v>0.35299999999999998</v>
      </c>
      <c r="D25" s="5">
        <f>Assumptions!$B$10</f>
        <v>5.16E-2</v>
      </c>
      <c r="E25" s="4">
        <f t="shared" si="0"/>
        <v>2.4584015013510641</v>
      </c>
      <c r="F25" s="4">
        <f t="shared" si="1"/>
        <v>0.35935840642978728</v>
      </c>
      <c r="G25" s="4">
        <f>B25*Assumptions!$B$21</f>
        <v>1.1066288911180853</v>
      </c>
    </row>
    <row r="26" spans="1:7" ht="15.75" customHeight="1" x14ac:dyDescent="0.15">
      <c r="A26" t="s">
        <v>140</v>
      </c>
      <c r="B26" s="4">
        <f>'Table 6'!L26</f>
        <v>8.7787664999999997</v>
      </c>
      <c r="C26" s="2">
        <f>Assumptions!$B$9</f>
        <v>0.35299999999999998</v>
      </c>
      <c r="D26" s="5">
        <f>Assumptions!$B$10</f>
        <v>5.16E-2</v>
      </c>
      <c r="E26" s="4">
        <f t="shared" si="0"/>
        <v>3.0989045744999997</v>
      </c>
      <c r="F26" s="4">
        <f t="shared" si="1"/>
        <v>0.45298435139999998</v>
      </c>
      <c r="G26" s="4">
        <f>B26*Assumptions!$B$21</f>
        <v>1.39494599685</v>
      </c>
    </row>
    <row r="27" spans="1:7" ht="15.75" customHeight="1" x14ac:dyDescent="0.15">
      <c r="A27" t="s">
        <v>141</v>
      </c>
      <c r="B27" s="4">
        <f>'Table 6'!L27</f>
        <v>11.297473870967744</v>
      </c>
      <c r="C27" s="2">
        <f>Assumptions!$B$9</f>
        <v>0.35299999999999998</v>
      </c>
      <c r="D27" s="5">
        <f>Assumptions!$B$10</f>
        <v>5.16E-2</v>
      </c>
      <c r="E27" s="4">
        <f t="shared" si="0"/>
        <v>3.9880082764516134</v>
      </c>
      <c r="F27" s="4">
        <f t="shared" si="1"/>
        <v>0.58294965174193558</v>
      </c>
      <c r="G27" s="4">
        <f>B27*Assumptions!$B$21</f>
        <v>1.7951685980967746</v>
      </c>
    </row>
    <row r="28" spans="1:7" ht="15.75" customHeight="1" x14ac:dyDescent="0.15">
      <c r="A28" t="s">
        <v>142</v>
      </c>
      <c r="B28" s="4">
        <f>'Table 6'!L28</f>
        <v>19.327335067622954</v>
      </c>
      <c r="C28" s="2">
        <f>Assumptions!$B$9</f>
        <v>0.35299999999999998</v>
      </c>
      <c r="D28" s="5">
        <f>Assumptions!$B$10</f>
        <v>5.16E-2</v>
      </c>
      <c r="E28" s="4">
        <f t="shared" si="0"/>
        <v>6.8225492788709028</v>
      </c>
      <c r="F28" s="4">
        <f t="shared" si="1"/>
        <v>0.9972904894893444</v>
      </c>
      <c r="G28" s="4">
        <f>B28*Assumptions!$B$21</f>
        <v>3.0711135422452878</v>
      </c>
    </row>
    <row r="29" spans="1:7" ht="15.75" customHeight="1" x14ac:dyDescent="0.15">
      <c r="A29" t="s">
        <v>143</v>
      </c>
      <c r="B29" s="4">
        <f>'Table 6'!L29</f>
        <v>13.501783088927857</v>
      </c>
      <c r="C29" s="2">
        <f>Assumptions!$B$9</f>
        <v>0.35299999999999998</v>
      </c>
      <c r="D29" s="5">
        <f>Assumptions!$B$10</f>
        <v>5.16E-2</v>
      </c>
      <c r="E29" s="4">
        <f t="shared" si="0"/>
        <v>4.7661294303915334</v>
      </c>
      <c r="F29" s="4">
        <f t="shared" si="1"/>
        <v>0.69669200738867743</v>
      </c>
      <c r="G29" s="4">
        <f>B29*Assumptions!$B$21</f>
        <v>2.1454333328306365</v>
      </c>
    </row>
    <row r="30" spans="1:7" ht="15.75" customHeight="1" x14ac:dyDescent="0.15">
      <c r="A30" t="s">
        <v>145</v>
      </c>
      <c r="B30" s="4">
        <f>'Table 6'!L30</f>
        <v>11.169093486070381</v>
      </c>
      <c r="C30" s="2">
        <f>Assumptions!$B$9</f>
        <v>0.35299999999999998</v>
      </c>
      <c r="D30" s="5">
        <f>Assumptions!$B$10</f>
        <v>5.16E-2</v>
      </c>
      <c r="E30" s="4">
        <f t="shared" si="0"/>
        <v>3.9426900005828442</v>
      </c>
      <c r="F30" s="4">
        <f t="shared" si="1"/>
        <v>0.57632522388123164</v>
      </c>
      <c r="G30" s="4">
        <f>B30*Assumptions!$B$21</f>
        <v>1.7747689549365837</v>
      </c>
    </row>
    <row r="31" spans="1:7" ht="15.75" customHeight="1" x14ac:dyDescent="0.15">
      <c r="A31" t="s">
        <v>146</v>
      </c>
      <c r="B31" s="4">
        <f>'Table 6'!L31</f>
        <v>13.122528916652982</v>
      </c>
      <c r="C31" s="2">
        <f>Assumptions!$B$9</f>
        <v>0.35299999999999998</v>
      </c>
      <c r="D31" s="5">
        <f>Assumptions!$B$10</f>
        <v>5.16E-2</v>
      </c>
      <c r="E31" s="4">
        <f t="shared" si="0"/>
        <v>4.6322527075785027</v>
      </c>
      <c r="F31" s="4">
        <f t="shared" si="1"/>
        <v>0.67712249209929387</v>
      </c>
      <c r="G31" s="4">
        <f>B31*Assumptions!$B$21</f>
        <v>2.0851698448561589</v>
      </c>
    </row>
    <row r="32" spans="1:7" ht="15.75" customHeight="1" x14ac:dyDescent="0.15">
      <c r="A32" t="s">
        <v>147</v>
      </c>
      <c r="B32" s="4">
        <f>'Table 6'!L32</f>
        <v>18.619052278546715</v>
      </c>
      <c r="C32" s="2">
        <f>Assumptions!$B$9</f>
        <v>0.35299999999999998</v>
      </c>
      <c r="D32" s="5">
        <f>Assumptions!$B$10</f>
        <v>5.16E-2</v>
      </c>
      <c r="E32" s="4">
        <f t="shared" si="0"/>
        <v>6.57252545432699</v>
      </c>
      <c r="F32" s="4">
        <f t="shared" si="1"/>
        <v>0.96074309757301046</v>
      </c>
      <c r="G32" s="4">
        <f>B32*Assumptions!$B$21</f>
        <v>2.9585674070610732</v>
      </c>
    </row>
    <row r="33" spans="1:7" ht="15.75" customHeight="1" x14ac:dyDescent="0.15">
      <c r="A33" t="s">
        <v>148</v>
      </c>
      <c r="B33" s="4">
        <f>'Table 6'!L33</f>
        <v>19.413891378567854</v>
      </c>
      <c r="C33" s="2">
        <f>Assumptions!$B$9</f>
        <v>0.35299999999999998</v>
      </c>
      <c r="D33" s="5">
        <f>Assumptions!$B$10</f>
        <v>5.16E-2</v>
      </c>
      <c r="E33" s="4">
        <f t="shared" si="0"/>
        <v>6.8531036566344516</v>
      </c>
      <c r="F33" s="4">
        <f t="shared" si="1"/>
        <v>1.0017567951341013</v>
      </c>
      <c r="G33" s="4">
        <f>B33*Assumptions!$B$21</f>
        <v>3.0848673400544322</v>
      </c>
    </row>
    <row r="34" spans="1:7" ht="15.75" customHeight="1" x14ac:dyDescent="0.15">
      <c r="A34" t="s">
        <v>149</v>
      </c>
      <c r="B34" s="4">
        <f>'Table 6'!L34</f>
        <v>5.8235477321016171</v>
      </c>
      <c r="C34" s="2">
        <f>Assumptions!$B$9</f>
        <v>0.35299999999999998</v>
      </c>
      <c r="D34" s="5">
        <f>Assumptions!$B$10</f>
        <v>5.16E-2</v>
      </c>
      <c r="E34" s="4">
        <f t="shared" si="0"/>
        <v>2.0557123494318708</v>
      </c>
      <c r="F34" s="4">
        <f t="shared" si="1"/>
        <v>0.30049506297644346</v>
      </c>
      <c r="G34" s="4">
        <f>B34*Assumptions!$B$21</f>
        <v>0.92536173463094706</v>
      </c>
    </row>
    <row r="35" spans="1:7" ht="15.75" customHeight="1" x14ac:dyDescent="0.15">
      <c r="A35" t="s">
        <v>150</v>
      </c>
      <c r="B35" s="4">
        <f>'Table 6'!L35</f>
        <v>5.1278192836177476</v>
      </c>
      <c r="C35" s="2">
        <f>Assumptions!$B$9</f>
        <v>0.35299999999999998</v>
      </c>
      <c r="D35" s="5">
        <f>Assumptions!$B$10</f>
        <v>5.16E-2</v>
      </c>
      <c r="E35" s="4">
        <f t="shared" si="0"/>
        <v>1.8101202071170648</v>
      </c>
      <c r="F35" s="4">
        <f t="shared" si="1"/>
        <v>0.26459547503467579</v>
      </c>
      <c r="G35" s="4">
        <f>B35*Assumptions!$B$21</f>
        <v>0.81481048416686019</v>
      </c>
    </row>
    <row r="36" spans="1:7" ht="15.75" customHeight="1" x14ac:dyDescent="0.15">
      <c r="A36" t="s">
        <v>151</v>
      </c>
      <c r="B36" s="4">
        <f>'Table 6'!L36</f>
        <v>5.5371941647765182</v>
      </c>
      <c r="C36" s="2">
        <f>Assumptions!$B$9</f>
        <v>0.35299999999999998</v>
      </c>
      <c r="D36" s="5">
        <f>Assumptions!$B$10</f>
        <v>5.16E-2</v>
      </c>
      <c r="E36" s="4">
        <f t="shared" si="0"/>
        <v>1.9546295401661109</v>
      </c>
      <c r="F36" s="4">
        <f t="shared" si="1"/>
        <v>0.28571921890246832</v>
      </c>
      <c r="G36" s="4">
        <f>B36*Assumptions!$B$21</f>
        <v>0.87986015278298879</v>
      </c>
    </row>
    <row r="37" spans="1:7" ht="15.75" customHeight="1" x14ac:dyDescent="0.15">
      <c r="A37" t="s">
        <v>152</v>
      </c>
      <c r="B37" s="4">
        <f>'Table 6'!L37</f>
        <v>7.4585223193359393</v>
      </c>
      <c r="C37" s="2">
        <f>Assumptions!$B$9</f>
        <v>0.35299999999999998</v>
      </c>
      <c r="D37" s="5">
        <f>Assumptions!$B$10</f>
        <v>5.16E-2</v>
      </c>
      <c r="E37" s="4">
        <f t="shared" si="0"/>
        <v>2.6328583787255866</v>
      </c>
      <c r="F37" s="4">
        <f t="shared" si="1"/>
        <v>0.38485975167773445</v>
      </c>
      <c r="G37" s="4">
        <f>B37*Assumptions!$B$21</f>
        <v>1.1851591965424808</v>
      </c>
    </row>
    <row r="38" spans="1:7" ht="15.75" customHeight="1" x14ac:dyDescent="0.15">
      <c r="A38" t="s">
        <v>153</v>
      </c>
      <c r="B38" s="4">
        <f>'Table 6'!L38</f>
        <v>9.3688336887096781</v>
      </c>
      <c r="C38" s="2">
        <f>Assumptions!$B$9</f>
        <v>0.35299999999999998</v>
      </c>
      <c r="D38" s="5">
        <f>Assumptions!$B$10</f>
        <v>5.16E-2</v>
      </c>
      <c r="E38" s="4">
        <f t="shared" si="0"/>
        <v>3.3071982921145162</v>
      </c>
      <c r="F38" s="4">
        <f t="shared" si="1"/>
        <v>0.48343181833741938</v>
      </c>
      <c r="G38" s="4">
        <f>B38*Assumptions!$B$21</f>
        <v>1.4887076731359681</v>
      </c>
    </row>
    <row r="39" spans="1:7" ht="15.75" customHeight="1" x14ac:dyDescent="0.15">
      <c r="A39" t="s">
        <v>154</v>
      </c>
      <c r="B39" s="4">
        <f>'Table 6'!L39</f>
        <v>12.867718113022116</v>
      </c>
      <c r="C39" s="2">
        <f>Assumptions!$B$9</f>
        <v>0.35299999999999998</v>
      </c>
      <c r="D39" s="5">
        <f>Assumptions!$B$10</f>
        <v>5.16E-2</v>
      </c>
      <c r="E39" s="4">
        <f t="shared" si="0"/>
        <v>4.5423044938968067</v>
      </c>
      <c r="F39" s="4">
        <f t="shared" si="1"/>
        <v>0.66397425463194115</v>
      </c>
      <c r="G39" s="4">
        <f>B39*Assumptions!$B$21</f>
        <v>2.0446804081592145</v>
      </c>
    </row>
    <row r="40" spans="1:7" ht="15.75" customHeight="1" x14ac:dyDescent="0.15">
      <c r="A40" t="s">
        <v>155</v>
      </c>
      <c r="B40" s="4">
        <f>'Table 6'!L40</f>
        <v>12.003117842822478</v>
      </c>
      <c r="C40" s="2">
        <f>Assumptions!$B$9</f>
        <v>0.35299999999999998</v>
      </c>
      <c r="D40" s="5">
        <f>Assumptions!$B$10</f>
        <v>5.16E-2</v>
      </c>
      <c r="E40" s="4">
        <f t="shared" si="0"/>
        <v>4.2371005985163341</v>
      </c>
      <c r="F40" s="4">
        <f t="shared" si="1"/>
        <v>0.6193608806896399</v>
      </c>
      <c r="G40" s="4">
        <f>B40*Assumptions!$B$21</f>
        <v>1.907295425224492</v>
      </c>
    </row>
    <row r="41" spans="1:7" ht="15.75" customHeight="1" x14ac:dyDescent="0.15">
      <c r="A41" t="s">
        <v>156</v>
      </c>
      <c r="B41" s="4">
        <f>'Table 6'!L41</f>
        <v>12.957027289429531</v>
      </c>
      <c r="C41" s="2">
        <f>Assumptions!$B$9</f>
        <v>0.35299999999999998</v>
      </c>
      <c r="D41" s="5">
        <f>Assumptions!$B$10</f>
        <v>5.16E-2</v>
      </c>
      <c r="E41" s="4">
        <f t="shared" si="0"/>
        <v>4.5738306331686243</v>
      </c>
      <c r="F41" s="4">
        <f t="shared" si="1"/>
        <v>0.66858260813456383</v>
      </c>
      <c r="G41" s="4">
        <f>B41*Assumptions!$B$21</f>
        <v>2.0588716362903527</v>
      </c>
    </row>
    <row r="42" spans="1:7" ht="15.75" customHeight="1" x14ac:dyDescent="0.15">
      <c r="A42" t="s">
        <v>157</v>
      </c>
      <c r="B42" s="4">
        <f>'Table 6'!L42</f>
        <v>14.458154422151781</v>
      </c>
      <c r="C42" s="2">
        <f>Assumptions!$B$9</f>
        <v>0.35299999999999998</v>
      </c>
      <c r="D42" s="5">
        <f>Assumptions!$B$10</f>
        <v>5.16E-2</v>
      </c>
      <c r="E42" s="4">
        <f t="shared" si="0"/>
        <v>5.103728511019578</v>
      </c>
      <c r="F42" s="4">
        <f t="shared" si="1"/>
        <v>0.74604076818303189</v>
      </c>
      <c r="G42" s="4">
        <f>B42*Assumptions!$B$21</f>
        <v>2.2974007376799181</v>
      </c>
    </row>
    <row r="43" spans="1:7" ht="15.75" customHeight="1" x14ac:dyDescent="0.15">
      <c r="A43" t="s">
        <v>158</v>
      </c>
      <c r="B43" s="4">
        <f>'Table 6'!L43</f>
        <v>16.356577208205035</v>
      </c>
      <c r="C43" s="2">
        <f>Assumptions!$B$9</f>
        <v>0.35299999999999998</v>
      </c>
      <c r="D43" s="5">
        <f>Assumptions!$B$10</f>
        <v>5.16E-2</v>
      </c>
      <c r="E43" s="4">
        <f t="shared" si="0"/>
        <v>5.7738717544963771</v>
      </c>
      <c r="F43" s="4">
        <f t="shared" si="1"/>
        <v>0.84399938394337981</v>
      </c>
      <c r="G43" s="4">
        <f>B43*Assumptions!$B$21</f>
        <v>2.5990601183837803</v>
      </c>
    </row>
    <row r="44" spans="1:7" ht="15.75" customHeight="1" x14ac:dyDescent="0.15">
      <c r="A44" t="s">
        <v>159</v>
      </c>
      <c r="B44" s="4">
        <f>'Table 6'!L44</f>
        <v>16.356577208205035</v>
      </c>
      <c r="C44" s="2">
        <f>Assumptions!$B$9</f>
        <v>0.35299999999999998</v>
      </c>
      <c r="D44" s="5">
        <f>Assumptions!$B$10</f>
        <v>5.16E-2</v>
      </c>
      <c r="E44" s="4">
        <f t="shared" si="0"/>
        <v>5.7738717544963771</v>
      </c>
      <c r="F44" s="4">
        <f t="shared" si="1"/>
        <v>0.84399938394337981</v>
      </c>
      <c r="G44" s="4">
        <f>B44*Assumptions!$B$21</f>
        <v>2.5990601183837803</v>
      </c>
    </row>
    <row r="45" spans="1:7" ht="15.75" customHeight="1" x14ac:dyDescent="0.15">
      <c r="A45" t="s">
        <v>161</v>
      </c>
      <c r="B45" s="4">
        <f>'Table 6'!L45</f>
        <v>6.7368405624161074</v>
      </c>
      <c r="C45" s="2">
        <f>Assumptions!$B$9</f>
        <v>0.35299999999999998</v>
      </c>
      <c r="D45" s="5">
        <f>Assumptions!$B$10</f>
        <v>5.16E-2</v>
      </c>
      <c r="E45" s="4">
        <f t="shared" si="0"/>
        <v>2.3781047185328856</v>
      </c>
      <c r="F45" s="4">
        <f t="shared" si="1"/>
        <v>0.34762097302067113</v>
      </c>
      <c r="G45" s="4">
        <f>B45*Assumptions!$B$21</f>
        <v>1.0704839653679195</v>
      </c>
    </row>
    <row r="46" spans="1:7" ht="15.75" customHeight="1" x14ac:dyDescent="0.15">
      <c r="A46" t="s">
        <v>162</v>
      </c>
      <c r="B46" s="4">
        <f>'Table 6'!L46</f>
        <v>6.8689992825552828</v>
      </c>
      <c r="C46" s="2">
        <f>Assumptions!$B$9</f>
        <v>0.35299999999999998</v>
      </c>
      <c r="D46" s="5">
        <f>Assumptions!$B$10</f>
        <v>5.16E-2</v>
      </c>
      <c r="E46" s="4">
        <f t="shared" si="0"/>
        <v>2.4247567467420148</v>
      </c>
      <c r="F46" s="4">
        <f t="shared" si="1"/>
        <v>0.3544403629798526</v>
      </c>
      <c r="G46" s="4">
        <f>B46*Assumptions!$B$21</f>
        <v>1.0914839859980345</v>
      </c>
    </row>
    <row r="47" spans="1:7" ht="15.75" customHeight="1" x14ac:dyDescent="0.15">
      <c r="A47" t="s">
        <v>163</v>
      </c>
      <c r="B47" s="4">
        <f>'Table 6'!L47</f>
        <v>6.8283261190702103</v>
      </c>
      <c r="C47" s="2">
        <f>Assumptions!$B$9</f>
        <v>0.35299999999999998</v>
      </c>
      <c r="D47" s="5">
        <f>Assumptions!$B$10</f>
        <v>5.16E-2</v>
      </c>
      <c r="E47" s="4">
        <f t="shared" si="0"/>
        <v>2.410399120031784</v>
      </c>
      <c r="F47" s="4">
        <f t="shared" si="1"/>
        <v>0.35234162774402283</v>
      </c>
      <c r="G47" s="4">
        <f>B47*Assumptions!$B$21</f>
        <v>1.0850210203202566</v>
      </c>
    </row>
    <row r="48" spans="1:7" ht="15.75" customHeight="1" x14ac:dyDescent="0.15">
      <c r="A48" t="s">
        <v>164</v>
      </c>
      <c r="B48" s="4">
        <f>'Table 6'!L48</f>
        <v>7.17712477151382</v>
      </c>
      <c r="C48" s="2">
        <f>Assumptions!$B$9</f>
        <v>0.35299999999999998</v>
      </c>
      <c r="D48" s="5">
        <f>Assumptions!$B$10</f>
        <v>5.16E-2</v>
      </c>
      <c r="E48" s="4">
        <f t="shared" si="0"/>
        <v>2.5335250443443784</v>
      </c>
      <c r="F48" s="4">
        <f t="shared" si="1"/>
        <v>0.37033963821011312</v>
      </c>
      <c r="G48" s="4">
        <f>B48*Assumptions!$B$21</f>
        <v>1.140445126193546</v>
      </c>
    </row>
    <row r="49" spans="1:7" ht="15.75" customHeight="1" x14ac:dyDescent="0.15">
      <c r="A49" t="s">
        <v>165</v>
      </c>
      <c r="B49" s="4">
        <f>'Table 6'!L49</f>
        <v>8.3417642608695655</v>
      </c>
      <c r="C49" s="2">
        <f>Assumptions!$B$9</f>
        <v>0.35299999999999998</v>
      </c>
      <c r="D49" s="5">
        <f>Assumptions!$B$10</f>
        <v>5.16E-2</v>
      </c>
      <c r="E49" s="4">
        <f t="shared" si="0"/>
        <v>2.9446427840869562</v>
      </c>
      <c r="F49" s="4">
        <f t="shared" si="1"/>
        <v>0.43043503586086956</v>
      </c>
      <c r="G49" s="4">
        <f>B49*Assumptions!$B$21</f>
        <v>1.3255063410521741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zoomScaleNormal="100" workbookViewId="0"/>
  </sheetViews>
  <sheetFormatPr baseColWidth="10" defaultColWidth="14.5" defaultRowHeight="15" customHeight="1" x14ac:dyDescent="0.15"/>
  <cols>
    <col min="1" max="1" width="26" customWidth="1"/>
    <col min="2" max="2" width="12" customWidth="1"/>
    <col min="3" max="3" width="10" customWidth="1"/>
    <col min="4" max="4" width="9" customWidth="1"/>
    <col min="5" max="5" width="18" customWidth="1"/>
    <col min="6" max="7" width="10" customWidth="1"/>
    <col min="8" max="8" width="8" customWidth="1"/>
    <col min="9" max="9" width="12" customWidth="1"/>
    <col min="10" max="10" width="10" customWidth="1"/>
    <col min="11" max="13" width="20" customWidth="1"/>
  </cols>
  <sheetData>
    <row r="1" spans="1:13" ht="15" customHeight="1" x14ac:dyDescent="0.15">
      <c r="A1" s="1" t="s">
        <v>335</v>
      </c>
    </row>
    <row r="2" spans="1:13" ht="15" customHeight="1" x14ac:dyDescent="0.15">
      <c r="A2" s="1" t="s">
        <v>167</v>
      </c>
      <c r="B2" s="1" t="s">
        <v>185</v>
      </c>
      <c r="C2" s="1" t="s">
        <v>186</v>
      </c>
      <c r="D2" s="1" t="s">
        <v>187</v>
      </c>
      <c r="E2" s="1" t="s">
        <v>176</v>
      </c>
      <c r="F2" s="1" t="s">
        <v>188</v>
      </c>
      <c r="G2" s="1" t="s">
        <v>189</v>
      </c>
      <c r="H2" s="1" t="s">
        <v>190</v>
      </c>
      <c r="I2" s="1" t="s">
        <v>191</v>
      </c>
      <c r="J2" s="1" t="s">
        <v>192</v>
      </c>
      <c r="K2" s="1" t="s">
        <v>193</v>
      </c>
      <c r="L2" s="1" t="s">
        <v>194</v>
      </c>
      <c r="M2" s="1" t="s">
        <v>195</v>
      </c>
    </row>
    <row r="3" spans="1:13" ht="15" customHeight="1" x14ac:dyDescent="0.15">
      <c r="A3" t="s">
        <v>105</v>
      </c>
      <c r="B3" s="4">
        <f>'Table 6'!L3</f>
        <v>2.0195000000000003</v>
      </c>
      <c r="C3" s="3">
        <f>Corpus!E3</f>
        <v>80.099999999999994</v>
      </c>
      <c r="D3" s="3">
        <f>Corpus!F3</f>
        <v>23.9</v>
      </c>
      <c r="E3" t="str">
        <f>Corpus!Q3</f>
        <v>None</v>
      </c>
      <c r="F3" s="4">
        <f>IF(Corpus!R3="5x",Assumptions!$B$17,Assumptions!$B$19)</f>
        <v>0.40849999999999997</v>
      </c>
      <c r="G3" s="4">
        <f>Bootstrap!D3</f>
        <v>0.86599999999999999</v>
      </c>
      <c r="H3" s="4">
        <f>IF(Corpus!Q3="None",1,Bootstrap!K3)</f>
        <v>1</v>
      </c>
      <c r="I3" s="4">
        <f t="shared" ref="I3:I49" si="0">F3*G3*H3</f>
        <v>0.35376099999999999</v>
      </c>
      <c r="J3" s="4">
        <f t="shared" ref="J3:J49" si="1">B3*I3</f>
        <v>0.71442033950000006</v>
      </c>
      <c r="K3" s="4">
        <f>J3*Assumptions!$B$9</f>
        <v>0.25219037984350001</v>
      </c>
      <c r="L3" s="4">
        <f>J3*Assumptions!$B$10</f>
        <v>3.6864089518200006E-2</v>
      </c>
      <c r="M3" s="4">
        <f>J3*Assumptions!$B$21</f>
        <v>0.11352139194655002</v>
      </c>
    </row>
    <row r="4" spans="1:13" ht="15" customHeight="1" x14ac:dyDescent="0.15">
      <c r="A4" t="s">
        <v>108</v>
      </c>
      <c r="B4" s="4">
        <f>'Table 6'!L4</f>
        <v>7.7788628084896345</v>
      </c>
      <c r="C4" s="3">
        <f>Corpus!E4</f>
        <v>61.4</v>
      </c>
      <c r="D4" s="3">
        <f>Corpus!F4</f>
        <v>13.3</v>
      </c>
      <c r="E4" t="str">
        <f>Corpus!Q4</f>
        <v>None</v>
      </c>
      <c r="F4" s="4">
        <f>IF(Corpus!R4="5x",Assumptions!$B$17,Assumptions!$B$19)</f>
        <v>0.216505</v>
      </c>
      <c r="G4" s="4">
        <f>Bootstrap!D4</f>
        <v>0.88670000000000004</v>
      </c>
      <c r="H4" s="4">
        <f>IF(Corpus!Q4="None",1,Bootstrap!K4)</f>
        <v>1</v>
      </c>
      <c r="I4" s="4">
        <f t="shared" si="0"/>
        <v>0.1919749835</v>
      </c>
      <c r="J4" s="4">
        <f t="shared" si="1"/>
        <v>1.4933470593085612</v>
      </c>
      <c r="K4" s="4">
        <f>J4*Assumptions!$B$9</f>
        <v>0.52715151193592202</v>
      </c>
      <c r="L4" s="4">
        <f>J4*Assumptions!$B$10</f>
        <v>7.7056708260321752E-2</v>
      </c>
      <c r="M4" s="4">
        <f>J4*Assumptions!$B$21</f>
        <v>0.2372928477241304</v>
      </c>
    </row>
    <row r="5" spans="1:13" ht="15" customHeight="1" x14ac:dyDescent="0.15">
      <c r="A5" t="s">
        <v>111</v>
      </c>
      <c r="B5" s="4">
        <f>'Table 6'!L5</f>
        <v>17.284301602377052</v>
      </c>
      <c r="C5" s="3">
        <f>Corpus!E5</f>
        <v>61.7</v>
      </c>
      <c r="D5" s="3">
        <f>Corpus!F5</f>
        <v>14.2</v>
      </c>
      <c r="E5" t="str">
        <f>Corpus!Q5</f>
        <v>Low</v>
      </c>
      <c r="F5" s="4">
        <f>IF(Corpus!R5="5x",Assumptions!$B$17,Assumptions!$B$19)</f>
        <v>0.216505</v>
      </c>
      <c r="G5" s="4">
        <f>Bootstrap!D5</f>
        <v>0.88329999999999997</v>
      </c>
      <c r="H5" s="4">
        <f>IF(Corpus!Q5="None",1,Bootstrap!K5)</f>
        <v>0.97250000000000003</v>
      </c>
      <c r="I5" s="4">
        <f t="shared" si="0"/>
        <v>0.18597979767125</v>
      </c>
      <c r="J5" s="4">
        <f t="shared" si="1"/>
        <v>3.2145309148989463</v>
      </c>
      <c r="K5" s="4">
        <f>J5*Assumptions!$B$9</f>
        <v>1.1347294129593279</v>
      </c>
      <c r="L5" s="4">
        <f>J5*Assumptions!$B$10</f>
        <v>0.16586979520878561</v>
      </c>
      <c r="M5" s="4">
        <f>J5*Assumptions!$B$21</f>
        <v>0.51078896237744265</v>
      </c>
    </row>
    <row r="6" spans="1:13" ht="15" customHeight="1" x14ac:dyDescent="0.15">
      <c r="A6" t="s">
        <v>113</v>
      </c>
      <c r="B6" s="4">
        <f>'Table 6'!L6</f>
        <v>28.604840727272727</v>
      </c>
      <c r="C6" s="3">
        <f>Corpus!E6</f>
        <v>60.8</v>
      </c>
      <c r="D6" s="3">
        <f>Corpus!F6</f>
        <v>14.5</v>
      </c>
      <c r="E6" t="str">
        <f>Corpus!Q6</f>
        <v>Medium</v>
      </c>
      <c r="F6" s="4">
        <f>IF(Corpus!R6="5x",Assumptions!$B$17,Assumptions!$B$19)</f>
        <v>0.216505</v>
      </c>
      <c r="G6" s="4">
        <f>Bootstrap!D6</f>
        <v>0.88990000000000002</v>
      </c>
      <c r="H6" s="4">
        <f>IF(Corpus!Q6="None",1,Bootstrap!K6)</f>
        <v>0.88749999999999996</v>
      </c>
      <c r="I6" s="4">
        <f t="shared" si="0"/>
        <v>0.17099267205625002</v>
      </c>
      <c r="J6" s="4">
        <f t="shared" si="1"/>
        <v>4.8912181496998093</v>
      </c>
      <c r="K6" s="4">
        <f>J6*Assumptions!$B$9</f>
        <v>1.7266000068440326</v>
      </c>
      <c r="L6" s="4">
        <f>J6*Assumptions!$B$10</f>
        <v>0.25238685652451015</v>
      </c>
      <c r="M6" s="4">
        <f>J6*Assumptions!$B$21</f>
        <v>0.77721456398729971</v>
      </c>
    </row>
    <row r="7" spans="1:13" ht="15" customHeight="1" x14ac:dyDescent="0.15">
      <c r="A7" t="s">
        <v>115</v>
      </c>
      <c r="B7" s="4">
        <f>'Table 6'!L7</f>
        <v>41.935240619999995</v>
      </c>
      <c r="C7" s="3">
        <f>Corpus!E7</f>
        <v>68.099999999999994</v>
      </c>
      <c r="D7" s="3">
        <f>Corpus!F7</f>
        <v>15.7</v>
      </c>
      <c r="E7" t="str">
        <f>Corpus!Q7</f>
        <v>High</v>
      </c>
      <c r="F7" s="4">
        <f>IF(Corpus!R7="5x",Assumptions!$B$17,Assumptions!$B$19)</f>
        <v>0.216505</v>
      </c>
      <c r="G7" s="4">
        <f>Bootstrap!D7</f>
        <v>0.88819999999999999</v>
      </c>
      <c r="H7" s="4">
        <f>IF(Corpus!Q7="None",1,Bootstrap!K7)</f>
        <v>0.95099999999999996</v>
      </c>
      <c r="I7" s="4">
        <f t="shared" si="0"/>
        <v>0.18287705369099999</v>
      </c>
      <c r="J7" s="4">
        <f t="shared" si="1"/>
        <v>7.668993250408743</v>
      </c>
      <c r="K7" s="4">
        <f>J7*Assumptions!$B$9</f>
        <v>2.707154617394286</v>
      </c>
      <c r="L7" s="4">
        <f>J7*Assumptions!$B$10</f>
        <v>0.39572005172109115</v>
      </c>
      <c r="M7" s="4">
        <f>J7*Assumptions!$B$21</f>
        <v>1.2186030274899493</v>
      </c>
    </row>
    <row r="8" spans="1:13" ht="15" customHeight="1" x14ac:dyDescent="0.15">
      <c r="A8" t="s">
        <v>117</v>
      </c>
      <c r="B8" s="4">
        <f>'Table 6'!L8</f>
        <v>28.666084165319322</v>
      </c>
      <c r="C8" s="3">
        <f>Corpus!E8</f>
        <v>63.8</v>
      </c>
      <c r="D8" s="3">
        <f>Corpus!F8</f>
        <v>16.7</v>
      </c>
      <c r="E8" t="str">
        <f>Corpus!Q8</f>
        <v>xHigh</v>
      </c>
      <c r="F8" s="4">
        <f>IF(Corpus!R8="5x",Assumptions!$B$17,Assumptions!$B$19)</f>
        <v>0.216505</v>
      </c>
      <c r="G8" s="4">
        <f>Bootstrap!D8</f>
        <v>0.9</v>
      </c>
      <c r="H8" s="4">
        <f>IF(Corpus!Q8="None",1,Bootstrap!K8)</f>
        <v>0.94289999999999996</v>
      </c>
      <c r="I8" s="4">
        <f t="shared" si="0"/>
        <v>0.18372830805000001</v>
      </c>
      <c r="J8" s="4">
        <f t="shared" si="1"/>
        <v>5.2667711421130159</v>
      </c>
      <c r="K8" s="4">
        <f>J8*Assumptions!$B$9</f>
        <v>1.8591702131658945</v>
      </c>
      <c r="L8" s="4">
        <f>J8*Assumptions!$B$10</f>
        <v>0.27176539093303165</v>
      </c>
      <c r="M8" s="4">
        <f>J8*Assumptions!$B$21</f>
        <v>0.8368899344817583</v>
      </c>
    </row>
    <row r="9" spans="1:13" ht="15" customHeight="1" x14ac:dyDescent="0.15">
      <c r="A9" t="s">
        <v>119</v>
      </c>
      <c r="B9" s="4">
        <f>'Table 6'!L9</f>
        <v>7.8407841044776125</v>
      </c>
      <c r="C9" s="3">
        <f>Corpus!E9</f>
        <v>59.6</v>
      </c>
      <c r="D9" s="3">
        <f>Corpus!F9</f>
        <v>6.4</v>
      </c>
      <c r="E9" t="str">
        <f>Corpus!Q9</f>
        <v>None</v>
      </c>
      <c r="F9" s="4">
        <f>IF(Corpus!R9="5x",Assumptions!$B$17,Assumptions!$B$19)</f>
        <v>0.216505</v>
      </c>
      <c r="G9" s="4">
        <f>Bootstrap!D9</f>
        <v>0.89070000000000005</v>
      </c>
      <c r="H9" s="4">
        <f>IF(Corpus!Q9="None",1,Bootstrap!K9)</f>
        <v>1</v>
      </c>
      <c r="I9" s="4">
        <f t="shared" si="0"/>
        <v>0.19284100350000002</v>
      </c>
      <c r="J9" s="4">
        <f t="shared" si="1"/>
        <v>1.5120246749343118</v>
      </c>
      <c r="K9" s="4">
        <f>J9*Assumptions!$B$9</f>
        <v>0.53374471025181203</v>
      </c>
      <c r="L9" s="4">
        <f>J9*Assumptions!$B$10</f>
        <v>7.8020473226610487E-2</v>
      </c>
      <c r="M9" s="4">
        <f>J9*Assumptions!$B$21</f>
        <v>0.24026072084706215</v>
      </c>
    </row>
    <row r="10" spans="1:13" ht="15" customHeight="1" x14ac:dyDescent="0.15">
      <c r="A10" t="s">
        <v>121</v>
      </c>
      <c r="B10" s="4">
        <f>'Table 6'!L10</f>
        <v>13.724575006170692</v>
      </c>
      <c r="C10" s="3">
        <f>Corpus!E10</f>
        <v>57</v>
      </c>
      <c r="D10" s="3">
        <f>Corpus!F10</f>
        <v>6</v>
      </c>
      <c r="E10" t="str">
        <f>Corpus!Q10</f>
        <v>Low</v>
      </c>
      <c r="F10" s="4">
        <f>IF(Corpus!R10="5x",Assumptions!$B$17,Assumptions!$B$19)</f>
        <v>0.216505</v>
      </c>
      <c r="G10" s="4">
        <f>Bootstrap!D10</f>
        <v>0.89910000000000001</v>
      </c>
      <c r="H10" s="4">
        <f>IF(Corpus!Q10="None",1,Bootstrap!K10)</f>
        <v>0.97789999999999999</v>
      </c>
      <c r="I10" s="4">
        <f t="shared" si="0"/>
        <v>0.19035766733445</v>
      </c>
      <c r="J10" s="4">
        <f t="shared" si="1"/>
        <v>2.6125780833313477</v>
      </c>
      <c r="K10" s="4">
        <f>J10*Assumptions!$B$9</f>
        <v>0.92224006341596565</v>
      </c>
      <c r="L10" s="4">
        <f>J10*Assumptions!$B$10</f>
        <v>0.13480902909989753</v>
      </c>
      <c r="M10" s="4">
        <f>J10*Assumptions!$B$21</f>
        <v>0.4151386574413512</v>
      </c>
    </row>
    <row r="11" spans="1:13" ht="15" customHeight="1" x14ac:dyDescent="0.15">
      <c r="A11" t="s">
        <v>122</v>
      </c>
      <c r="B11" s="4">
        <f>'Table 6'!L11</f>
        <v>15.056259570093459</v>
      </c>
      <c r="C11" s="3">
        <f>Corpus!E11</f>
        <v>57.9</v>
      </c>
      <c r="D11" s="3">
        <f>Corpus!F11</f>
        <v>6.3</v>
      </c>
      <c r="E11" t="str">
        <f>Corpus!Q11</f>
        <v>Medium</v>
      </c>
      <c r="F11" s="4">
        <f>IF(Corpus!R11="5x",Assumptions!$B$17,Assumptions!$B$19)</f>
        <v>0.216505</v>
      </c>
      <c r="G11" s="4">
        <f>Bootstrap!D11</f>
        <v>0.89980000000000004</v>
      </c>
      <c r="H11" s="4">
        <f>IF(Corpus!Q11="None",1,Bootstrap!K11)</f>
        <v>0.98380000000000001</v>
      </c>
      <c r="I11" s="4">
        <f t="shared" si="0"/>
        <v>0.19165525757620003</v>
      </c>
      <c r="J11" s="4">
        <f t="shared" si="1"/>
        <v>2.8856113060403885</v>
      </c>
      <c r="K11" s="4">
        <f>J11*Assumptions!$B$9</f>
        <v>1.0186207910322571</v>
      </c>
      <c r="L11" s="4">
        <f>J11*Assumptions!$B$10</f>
        <v>0.14889754339168404</v>
      </c>
      <c r="M11" s="4">
        <f>J11*Assumptions!$B$21</f>
        <v>0.45852363652981776</v>
      </c>
    </row>
    <row r="12" spans="1:13" ht="15" customHeight="1" x14ac:dyDescent="0.15">
      <c r="A12" t="s">
        <v>123</v>
      </c>
      <c r="B12" s="4">
        <f>'Table 6'!L12</f>
        <v>16.811745339726748</v>
      </c>
      <c r="C12" s="3">
        <f>Corpus!E12</f>
        <v>57.5</v>
      </c>
      <c r="D12" s="3">
        <f>Corpus!F12</f>
        <v>6.4</v>
      </c>
      <c r="E12" t="str">
        <f>Corpus!Q12</f>
        <v>High</v>
      </c>
      <c r="F12" s="4">
        <f>IF(Corpus!R12="5x",Assumptions!$B$17,Assumptions!$B$19)</f>
        <v>0.216505</v>
      </c>
      <c r="G12" s="4">
        <f>Bootstrap!D12</f>
        <v>0.89949999999999997</v>
      </c>
      <c r="H12" s="4">
        <f>IF(Corpus!Q12="None",1,Bootstrap!K12)</f>
        <v>0.96460000000000001</v>
      </c>
      <c r="I12" s="4">
        <f t="shared" si="0"/>
        <v>0.18785223033849999</v>
      </c>
      <c r="J12" s="4">
        <f t="shared" si="1"/>
        <v>3.1581238579505526</v>
      </c>
      <c r="K12" s="4">
        <f>J12*Assumptions!$B$9</f>
        <v>1.1148177218565449</v>
      </c>
      <c r="L12" s="4">
        <f>J12*Assumptions!$B$10</f>
        <v>0.1629591910702485</v>
      </c>
      <c r="M12" s="4">
        <f>J12*Assumptions!$B$21</f>
        <v>0.5018258810283428</v>
      </c>
    </row>
    <row r="13" spans="1:13" ht="15" customHeight="1" x14ac:dyDescent="0.15">
      <c r="A13" t="s">
        <v>124</v>
      </c>
      <c r="B13" s="4">
        <f>'Table 6'!L13</f>
        <v>25.634175558679914</v>
      </c>
      <c r="C13" s="3">
        <f>Corpus!E13</f>
        <v>59.1</v>
      </c>
      <c r="D13" s="3">
        <f>Corpus!F13</f>
        <v>6.9</v>
      </c>
      <c r="E13" t="str">
        <f>Corpus!Q13</f>
        <v>xHigh</v>
      </c>
      <c r="F13" s="4">
        <f>IF(Corpus!R13="5x",Assumptions!$B$17,Assumptions!$B$19)</f>
        <v>0.216505</v>
      </c>
      <c r="G13" s="4">
        <f>Bootstrap!D13</f>
        <v>0.90159999999999996</v>
      </c>
      <c r="H13" s="4">
        <f>IF(Corpus!Q13="None",1,Bootstrap!K13)</f>
        <v>0.92679999999999996</v>
      </c>
      <c r="I13" s="4">
        <f t="shared" si="0"/>
        <v>0.18091220153439999</v>
      </c>
      <c r="J13" s="4">
        <f t="shared" si="1"/>
        <v>4.6375351348400908</v>
      </c>
      <c r="K13" s="4">
        <f>J13*Assumptions!$B$9</f>
        <v>1.6370499025985519</v>
      </c>
      <c r="L13" s="4">
        <f>J13*Assumptions!$B$10</f>
        <v>0.23929681295774868</v>
      </c>
      <c r="M13" s="4">
        <f>J13*Assumptions!$B$21</f>
        <v>0.73690433292609048</v>
      </c>
    </row>
    <row r="14" spans="1:13" ht="15" customHeight="1" x14ac:dyDescent="0.15">
      <c r="A14" t="s">
        <v>125</v>
      </c>
      <c r="B14" s="4">
        <f>'Table 6'!L14</f>
        <v>3.0195381370545404</v>
      </c>
      <c r="C14" s="3">
        <f>Corpus!E14</f>
        <v>156.6</v>
      </c>
      <c r="D14" s="3">
        <f>Corpus!F14</f>
        <v>18.7</v>
      </c>
      <c r="E14" t="str">
        <f>Corpus!Q14</f>
        <v>None</v>
      </c>
      <c r="F14" s="4">
        <f>IF(Corpus!R14="5x",Assumptions!$B$17,Assumptions!$B$19)</f>
        <v>0.216505</v>
      </c>
      <c r="G14" s="4">
        <f>Bootstrap!D14</f>
        <v>0.89139999999999997</v>
      </c>
      <c r="H14" s="4">
        <f>IF(Corpus!Q14="None",1,Bootstrap!K14)</f>
        <v>1</v>
      </c>
      <c r="I14" s="4">
        <f t="shared" si="0"/>
        <v>0.19299255700000001</v>
      </c>
      <c r="J14" s="4">
        <f t="shared" si="1"/>
        <v>0.58274838602917223</v>
      </c>
      <c r="K14" s="4">
        <f>J14*Assumptions!$B$9</f>
        <v>0.20571018026829779</v>
      </c>
      <c r="L14" s="4">
        <f>J14*Assumptions!$B$10</f>
        <v>3.0069816719105288E-2</v>
      </c>
      <c r="M14" s="4">
        <f>J14*Assumptions!$B$21</f>
        <v>9.2598718540035471E-2</v>
      </c>
    </row>
    <row r="15" spans="1:13" ht="15" customHeight="1" x14ac:dyDescent="0.15">
      <c r="A15" t="s">
        <v>127</v>
      </c>
      <c r="B15" s="4">
        <f>'Table 6'!L15</f>
        <v>4.9729329275168235</v>
      </c>
      <c r="C15" s="3">
        <f>Corpus!E15</f>
        <v>154.1</v>
      </c>
      <c r="D15" s="3">
        <f>Corpus!F15</f>
        <v>18.5</v>
      </c>
      <c r="E15" t="str">
        <f>Corpus!Q15</f>
        <v>Low</v>
      </c>
      <c r="F15" s="4">
        <f>IF(Corpus!R15="5x",Assumptions!$B$17,Assumptions!$B$19)</f>
        <v>0.216505</v>
      </c>
      <c r="G15" s="4">
        <f>Bootstrap!D15</f>
        <v>0.89910000000000001</v>
      </c>
      <c r="H15" s="4">
        <f>IF(Corpus!Q15="None",1,Bootstrap!K15)</f>
        <v>0.98870000000000002</v>
      </c>
      <c r="I15" s="4">
        <f t="shared" si="0"/>
        <v>0.19245999150585</v>
      </c>
      <c r="J15" s="4">
        <f t="shared" si="1"/>
        <v>0.95709062898904962</v>
      </c>
      <c r="K15" s="4">
        <f>J15*Assumptions!$B$9</f>
        <v>0.33785299203313451</v>
      </c>
      <c r="L15" s="4">
        <f>J15*Assumptions!$B$10</f>
        <v>4.9385876455834962E-2</v>
      </c>
      <c r="M15" s="4">
        <f>J15*Assumptions!$B$21</f>
        <v>0.15208170094636</v>
      </c>
    </row>
    <row r="16" spans="1:13" ht="15" customHeight="1" x14ac:dyDescent="0.15">
      <c r="A16" t="s">
        <v>128</v>
      </c>
      <c r="B16" s="4">
        <f>'Table 6'!L16</f>
        <v>5.5462992637500008</v>
      </c>
      <c r="C16" s="3">
        <f>Corpus!E16</f>
        <v>152.30000000000001</v>
      </c>
      <c r="D16" s="3">
        <f>Corpus!F16</f>
        <v>22.1</v>
      </c>
      <c r="E16" t="str">
        <f>Corpus!Q16</f>
        <v>Medium</v>
      </c>
      <c r="F16" s="4">
        <f>IF(Corpus!R16="5x",Assumptions!$B$17,Assumptions!$B$19)</f>
        <v>0.216505</v>
      </c>
      <c r="G16" s="4">
        <f>Bootstrap!D16</f>
        <v>0.89949999999999997</v>
      </c>
      <c r="H16" s="4">
        <f>IF(Corpus!Q16="None",1,Bootstrap!K16)</f>
        <v>0.9849</v>
      </c>
      <c r="I16" s="4">
        <f t="shared" si="0"/>
        <v>0.19180557916274998</v>
      </c>
      <c r="J16" s="4">
        <f t="shared" si="1"/>
        <v>1.0638111424935028</v>
      </c>
      <c r="K16" s="4">
        <f>J16*Assumptions!$B$9</f>
        <v>0.37552533330020649</v>
      </c>
      <c r="L16" s="4">
        <f>J16*Assumptions!$B$10</f>
        <v>5.4892654952664745E-2</v>
      </c>
      <c r="M16" s="4">
        <f>J16*Assumptions!$B$21</f>
        <v>0.16903959054221762</v>
      </c>
    </row>
    <row r="17" spans="1:13" ht="15" customHeight="1" x14ac:dyDescent="0.15">
      <c r="A17" t="s">
        <v>129</v>
      </c>
      <c r="B17" s="4">
        <f>'Table 6'!L17</f>
        <v>5.914870035911604</v>
      </c>
      <c r="C17" s="3">
        <f>Corpus!E17</f>
        <v>155.19999999999999</v>
      </c>
      <c r="D17" s="3">
        <f>Corpus!F17</f>
        <v>19.5</v>
      </c>
      <c r="E17" t="str">
        <f>Corpus!Q17</f>
        <v>High</v>
      </c>
      <c r="F17" s="4">
        <f>IF(Corpus!R17="5x",Assumptions!$B$17,Assumptions!$B$19)</f>
        <v>0.216505</v>
      </c>
      <c r="G17" s="4">
        <f>Bootstrap!D17</f>
        <v>0.88029999999999997</v>
      </c>
      <c r="H17" s="4">
        <f>IF(Corpus!Q17="None",1,Bootstrap!K17)</f>
        <v>0.96650000000000003</v>
      </c>
      <c r="I17" s="4">
        <f t="shared" si="0"/>
        <v>0.18420460822475002</v>
      </c>
      <c r="J17" s="4">
        <f t="shared" si="1"/>
        <v>1.0895463176654101</v>
      </c>
      <c r="K17" s="4">
        <f>J17*Assumptions!$B$9</f>
        <v>0.38460985013588972</v>
      </c>
      <c r="L17" s="4">
        <f>J17*Assumptions!$B$10</f>
        <v>5.6220589991535161E-2</v>
      </c>
      <c r="M17" s="4">
        <f>J17*Assumptions!$B$21</f>
        <v>0.17312890987703369</v>
      </c>
    </row>
    <row r="18" spans="1:13" ht="15" customHeight="1" x14ac:dyDescent="0.15">
      <c r="A18" t="s">
        <v>130</v>
      </c>
      <c r="B18" s="4">
        <f>'Table 6'!L18</f>
        <v>11.33223645494591</v>
      </c>
      <c r="C18" s="3">
        <f>Corpus!E18</f>
        <v>153.69999999999999</v>
      </c>
      <c r="D18" s="3">
        <f>Corpus!F18</f>
        <v>19.8</v>
      </c>
      <c r="E18" t="str">
        <f>Corpus!Q18</f>
        <v>xHigh</v>
      </c>
      <c r="F18" s="4">
        <f>IF(Corpus!R18="5x",Assumptions!$B$17,Assumptions!$B$19)</f>
        <v>0.216505</v>
      </c>
      <c r="G18" s="4">
        <f>Bootstrap!D18</f>
        <v>0.89929999999999999</v>
      </c>
      <c r="H18" s="4">
        <f>IF(Corpus!Q18="None",1,Bootstrap!K18)</f>
        <v>0.95960000000000001</v>
      </c>
      <c r="I18" s="4">
        <f t="shared" si="0"/>
        <v>0.1868369474614</v>
      </c>
      <c r="J18" s="4">
        <f t="shared" si="1"/>
        <v>2.1172804671528911</v>
      </c>
      <c r="K18" s="4">
        <f>J18*Assumptions!$B$9</f>
        <v>0.74740000490497049</v>
      </c>
      <c r="L18" s="4">
        <f>J18*Assumptions!$B$10</f>
        <v>0.10925167210508918</v>
      </c>
      <c r="M18" s="4">
        <f>J18*Assumptions!$B$21</f>
        <v>0.3364358662305944</v>
      </c>
    </row>
    <row r="19" spans="1:13" ht="15" customHeight="1" x14ac:dyDescent="0.15">
      <c r="A19" t="s">
        <v>131</v>
      </c>
      <c r="B19" s="4">
        <f>'Table 6'!L19</f>
        <v>3.2514908293789975</v>
      </c>
      <c r="C19" s="3">
        <f>Corpus!E19</f>
        <v>140.5</v>
      </c>
      <c r="D19" s="3">
        <f>Corpus!F19</f>
        <v>18.100000000000001</v>
      </c>
      <c r="E19" t="str">
        <f>Corpus!Q19</f>
        <v>None</v>
      </c>
      <c r="F19" s="4">
        <f>IF(Corpus!R19="5x",Assumptions!$B$17,Assumptions!$B$19)</f>
        <v>0.216505</v>
      </c>
      <c r="G19" s="4">
        <f>Bootstrap!D19</f>
        <v>0.89870000000000005</v>
      </c>
      <c r="H19" s="4">
        <f>IF(Corpus!Q19="None",1,Bootstrap!K19)</f>
        <v>1</v>
      </c>
      <c r="I19" s="4">
        <f t="shared" si="0"/>
        <v>0.19457304350000001</v>
      </c>
      <c r="J19" s="4">
        <f t="shared" si="1"/>
        <v>0.63265246658461083</v>
      </c>
      <c r="K19" s="4">
        <f>J19*Assumptions!$B$9</f>
        <v>0.22332632070436761</v>
      </c>
      <c r="L19" s="4">
        <f>J19*Assumptions!$B$10</f>
        <v>3.2644867275765918E-2</v>
      </c>
      <c r="M19" s="4">
        <f>J19*Assumptions!$B$21</f>
        <v>0.10052847694029467</v>
      </c>
    </row>
    <row r="20" spans="1:13" ht="15" customHeight="1" x14ac:dyDescent="0.15">
      <c r="A20" t="s">
        <v>133</v>
      </c>
      <c r="B20" s="4">
        <f>'Table 6'!L20</f>
        <v>4.9107830738603591</v>
      </c>
      <c r="C20" s="3">
        <f>Corpus!E20</f>
        <v>137.19999999999999</v>
      </c>
      <c r="D20" s="3">
        <f>Corpus!F20</f>
        <v>14.3</v>
      </c>
      <c r="E20" t="str">
        <f>Corpus!Q20</f>
        <v>Low</v>
      </c>
      <c r="F20" s="4">
        <f>IF(Corpus!R20="5x",Assumptions!$B$17,Assumptions!$B$19)</f>
        <v>0.216505</v>
      </c>
      <c r="G20" s="4">
        <f>Bootstrap!D20</f>
        <v>0.9022</v>
      </c>
      <c r="H20" s="4">
        <f>IF(Corpus!Q20="None",1,Bootstrap!K20)</f>
        <v>0.97989999999999999</v>
      </c>
      <c r="I20" s="4">
        <f t="shared" si="0"/>
        <v>0.1914046616989</v>
      </c>
      <c r="J20" s="4">
        <f t="shared" si="1"/>
        <v>0.93994677292892626</v>
      </c>
      <c r="K20" s="4">
        <f>J20*Assumptions!$B$9</f>
        <v>0.33180121084391095</v>
      </c>
      <c r="L20" s="4">
        <f>J20*Assumptions!$B$10</f>
        <v>4.8501253483132598E-2</v>
      </c>
      <c r="M20" s="4">
        <f>J20*Assumptions!$B$21</f>
        <v>0.14935754221840639</v>
      </c>
    </row>
    <row r="21" spans="1:13" ht="15.75" customHeight="1" x14ac:dyDescent="0.15">
      <c r="A21" t="s">
        <v>134</v>
      </c>
      <c r="B21" s="4">
        <f>'Table 6'!L21</f>
        <v>5.6145545054753612</v>
      </c>
      <c r="C21" s="3">
        <f>Corpus!E21</f>
        <v>136.69999999999999</v>
      </c>
      <c r="D21" s="3">
        <f>Corpus!F21</f>
        <v>15.2</v>
      </c>
      <c r="E21" t="str">
        <f>Corpus!Q21</f>
        <v>Medium</v>
      </c>
      <c r="F21" s="4">
        <f>IF(Corpus!R21="5x",Assumptions!$B$17,Assumptions!$B$19)</f>
        <v>0.216505</v>
      </c>
      <c r="G21" s="4">
        <f>Bootstrap!D21</f>
        <v>0.90029999999999999</v>
      </c>
      <c r="H21" s="4">
        <f>IF(Corpus!Q21="None",1,Bootstrap!K21)</f>
        <v>0.98770000000000002</v>
      </c>
      <c r="I21" s="4">
        <f t="shared" si="0"/>
        <v>0.19252194224655</v>
      </c>
      <c r="J21" s="4">
        <f t="shared" si="1"/>
        <v>1.0809249382432347</v>
      </c>
      <c r="K21" s="4">
        <f>J21*Assumptions!$B$9</f>
        <v>0.3815665031998618</v>
      </c>
      <c r="L21" s="4">
        <f>J21*Assumptions!$B$10</f>
        <v>5.5775726813350905E-2</v>
      </c>
      <c r="M21" s="4">
        <f>J21*Assumptions!$B$21</f>
        <v>0.17175897268685</v>
      </c>
    </row>
    <row r="22" spans="1:13" ht="15.75" customHeight="1" x14ac:dyDescent="0.15">
      <c r="A22" t="s">
        <v>135</v>
      </c>
      <c r="B22" s="4">
        <f>'Table 6'!L22</f>
        <v>9.6577699646567474</v>
      </c>
      <c r="C22" s="3">
        <f>Corpus!E22</f>
        <v>140.4</v>
      </c>
      <c r="D22" s="3">
        <f>Corpus!F22</f>
        <v>13.5</v>
      </c>
      <c r="E22" t="str">
        <f>Corpus!Q22</f>
        <v>High</v>
      </c>
      <c r="F22" s="4">
        <f>IF(Corpus!R22="5x",Assumptions!$B$17,Assumptions!$B$19)</f>
        <v>0.216505</v>
      </c>
      <c r="G22" s="4">
        <f>Bootstrap!D22</f>
        <v>0.89939999999999998</v>
      </c>
      <c r="H22" s="4">
        <f>IF(Corpus!Q22="None",1,Bootstrap!K22)</f>
        <v>0.9627</v>
      </c>
      <c r="I22" s="4">
        <f t="shared" si="0"/>
        <v>0.18746136953190001</v>
      </c>
      <c r="J22" s="4">
        <f t="shared" si="1"/>
        <v>1.8104587841986035</v>
      </c>
      <c r="K22" s="4">
        <f>J22*Assumptions!$B$9</f>
        <v>0.63909195082210701</v>
      </c>
      <c r="L22" s="4">
        <f>J22*Assumptions!$B$10</f>
        <v>9.3419673264647937E-2</v>
      </c>
      <c r="M22" s="4">
        <f>J22*Assumptions!$B$21</f>
        <v>0.28768190080915812</v>
      </c>
    </row>
    <row r="23" spans="1:13" ht="15.75" customHeight="1" x14ac:dyDescent="0.15">
      <c r="A23" t="s">
        <v>136</v>
      </c>
      <c r="B23" s="4">
        <f>'Table 6'!L23</f>
        <v>40.508046549149405</v>
      </c>
      <c r="C23" s="3">
        <f>Corpus!E23</f>
        <v>139.19999999999999</v>
      </c>
      <c r="D23" s="3">
        <f>Corpus!F23</f>
        <v>24.5</v>
      </c>
      <c r="E23" t="str">
        <f>Corpus!Q23</f>
        <v>xHigh</v>
      </c>
      <c r="F23" s="4">
        <f>IF(Corpus!R23="5x",Assumptions!$B$17,Assumptions!$B$19)</f>
        <v>0.216505</v>
      </c>
      <c r="G23" s="4">
        <f>Bootstrap!D23</f>
        <v>0.85609999999999997</v>
      </c>
      <c r="H23" s="4">
        <f>IF(Corpus!Q23="None",1,Bootstrap!K23)</f>
        <v>0.7802</v>
      </c>
      <c r="I23" s="4">
        <f t="shared" si="0"/>
        <v>0.1446100157761</v>
      </c>
      <c r="J23" s="4">
        <f t="shared" si="1"/>
        <v>5.8578692505314889</v>
      </c>
      <c r="K23" s="4">
        <f>J23*Assumptions!$B$9</f>
        <v>2.0678278454376153</v>
      </c>
      <c r="L23" s="4">
        <f>J23*Assumptions!$B$10</f>
        <v>0.30226605332742484</v>
      </c>
      <c r="M23" s="4">
        <f>J23*Assumptions!$B$21</f>
        <v>0.93081542390945371</v>
      </c>
    </row>
    <row r="24" spans="1:13" ht="15.75" customHeight="1" x14ac:dyDescent="0.15">
      <c r="A24" t="s">
        <v>137</v>
      </c>
      <c r="B24" s="4">
        <f>'Table 6'!L24</f>
        <v>5.5015043227833376</v>
      </c>
      <c r="C24" s="3">
        <f>Corpus!E24</f>
        <v>86</v>
      </c>
      <c r="D24" s="3">
        <f>Corpus!F24</f>
        <v>12.7</v>
      </c>
      <c r="E24" t="str">
        <f>Corpus!Q24</f>
        <v>None</v>
      </c>
      <c r="F24" s="4">
        <f>IF(Corpus!R24="5x",Assumptions!$B$17,Assumptions!$B$19)</f>
        <v>0.216505</v>
      </c>
      <c r="G24" s="4">
        <f>Bootstrap!D24</f>
        <v>0.89329999999999998</v>
      </c>
      <c r="H24" s="4">
        <f>IF(Corpus!Q24="None",1,Bootstrap!K24)</f>
        <v>1</v>
      </c>
      <c r="I24" s="4">
        <f t="shared" si="0"/>
        <v>0.19340391649999999</v>
      </c>
      <c r="J24" s="4">
        <f t="shared" si="1"/>
        <v>1.0640124826679775</v>
      </c>
      <c r="K24" s="4">
        <f>J24*Assumptions!$B$9</f>
        <v>0.37559640638179603</v>
      </c>
      <c r="L24" s="4">
        <f>J24*Assumptions!$B$10</f>
        <v>5.4903044105667639E-2</v>
      </c>
      <c r="M24" s="4">
        <f>J24*Assumptions!$B$21</f>
        <v>0.16907158349594165</v>
      </c>
    </row>
    <row r="25" spans="1:13" ht="15.75" customHeight="1" x14ac:dyDescent="0.15">
      <c r="A25" t="s">
        <v>139</v>
      </c>
      <c r="B25" s="4">
        <f>'Table 6'!L25</f>
        <v>6.9643102021276606</v>
      </c>
      <c r="C25" s="3">
        <f>Corpus!E25</f>
        <v>92.1</v>
      </c>
      <c r="D25" s="3">
        <f>Corpus!F25</f>
        <v>16.3</v>
      </c>
      <c r="E25" t="str">
        <f>Corpus!Q25</f>
        <v>Low</v>
      </c>
      <c r="F25" s="4">
        <f>IF(Corpus!R25="5x",Assumptions!$B$17,Assumptions!$B$19)</f>
        <v>0.216505</v>
      </c>
      <c r="G25" s="4">
        <f>Bootstrap!D25</f>
        <v>0.89559999999999995</v>
      </c>
      <c r="H25" s="4">
        <f>IF(Corpus!Q25="None",1,Bootstrap!K25)</f>
        <v>0.99129999999999996</v>
      </c>
      <c r="I25" s="4">
        <f t="shared" si="0"/>
        <v>0.1922149316614</v>
      </c>
      <c r="J25" s="4">
        <f t="shared" si="1"/>
        <v>1.338644409570759</v>
      </c>
      <c r="K25" s="4">
        <f>J25*Assumptions!$B$9</f>
        <v>0.47254147657847789</v>
      </c>
      <c r="L25" s="4">
        <f>J25*Assumptions!$B$10</f>
        <v>6.9074051533851169E-2</v>
      </c>
      <c r="M25" s="4">
        <f>J25*Assumptions!$B$21</f>
        <v>0.21271059668079362</v>
      </c>
    </row>
    <row r="26" spans="1:13" ht="15.75" customHeight="1" x14ac:dyDescent="0.15">
      <c r="A26" t="s">
        <v>140</v>
      </c>
      <c r="B26" s="4">
        <f>'Table 6'!L26</f>
        <v>8.7787664999999997</v>
      </c>
      <c r="C26" s="3">
        <f>Corpus!E26</f>
        <v>93</v>
      </c>
      <c r="D26" s="3">
        <f>Corpus!F26</f>
        <v>10.7</v>
      </c>
      <c r="E26" t="str">
        <f>Corpus!Q26</f>
        <v>Medium</v>
      </c>
      <c r="F26" s="4">
        <f>IF(Corpus!R26="5x",Assumptions!$B$17,Assumptions!$B$19)</f>
        <v>0.216505</v>
      </c>
      <c r="G26" s="4">
        <f>Bootstrap!D26</f>
        <v>0.87760000000000005</v>
      </c>
      <c r="H26" s="4">
        <f>IF(Corpus!Q26="None",1,Bootstrap!K26)</f>
        <v>0.97330000000000005</v>
      </c>
      <c r="I26" s="4">
        <f t="shared" si="0"/>
        <v>0.18493166016040002</v>
      </c>
      <c r="J26" s="4">
        <f t="shared" si="1"/>
        <v>1.6234718630055043</v>
      </c>
      <c r="K26" s="4">
        <f>J26*Assumptions!$B$9</f>
        <v>0.57308556764094298</v>
      </c>
      <c r="L26" s="4">
        <f>J26*Assumptions!$B$10</f>
        <v>8.3771148131084022E-2</v>
      </c>
      <c r="M26" s="4">
        <f>J26*Assumptions!$B$21</f>
        <v>0.25796967903157464</v>
      </c>
    </row>
    <row r="27" spans="1:13" ht="15.75" customHeight="1" x14ac:dyDescent="0.15">
      <c r="A27" t="s">
        <v>141</v>
      </c>
      <c r="B27" s="4">
        <f>'Table 6'!L27</f>
        <v>11.297473870967744</v>
      </c>
      <c r="C27" s="3">
        <f>Corpus!E27</f>
        <v>93.4</v>
      </c>
      <c r="D27" s="3">
        <f>Corpus!F27</f>
        <v>11.3</v>
      </c>
      <c r="E27" t="str">
        <f>Corpus!Q27</f>
        <v>High</v>
      </c>
      <c r="F27" s="4">
        <f>IF(Corpus!R27="5x",Assumptions!$B$17,Assumptions!$B$19)</f>
        <v>0.216505</v>
      </c>
      <c r="G27" s="4">
        <f>Bootstrap!D27</f>
        <v>0.88990000000000002</v>
      </c>
      <c r="H27" s="4">
        <f>IF(Corpus!Q27="None",1,Bootstrap!K27)</f>
        <v>0.97050000000000003</v>
      </c>
      <c r="I27" s="4">
        <f t="shared" si="0"/>
        <v>0.18698409941475003</v>
      </c>
      <c r="J27" s="4">
        <f t="shared" si="1"/>
        <v>2.1124479774245737</v>
      </c>
      <c r="K27" s="4">
        <f>J27*Assumptions!$B$9</f>
        <v>0.74569413603087442</v>
      </c>
      <c r="L27" s="4">
        <f>J27*Assumptions!$B$10</f>
        <v>0.109002315635108</v>
      </c>
      <c r="M27" s="4">
        <f>J27*Assumptions!$B$21</f>
        <v>0.33566798361276479</v>
      </c>
    </row>
    <row r="28" spans="1:13" ht="15.75" customHeight="1" x14ac:dyDescent="0.15">
      <c r="A28" t="s">
        <v>142</v>
      </c>
      <c r="B28" s="4">
        <f>'Table 6'!L28</f>
        <v>19.327335067622954</v>
      </c>
      <c r="C28" s="3">
        <f>Corpus!E28</f>
        <v>95.6</v>
      </c>
      <c r="D28" s="3">
        <f>Corpus!F28</f>
        <v>10.1</v>
      </c>
      <c r="E28" t="str">
        <f>Corpus!Q28</f>
        <v>xHigh</v>
      </c>
      <c r="F28" s="4">
        <f>IF(Corpus!R28="5x",Assumptions!$B$17,Assumptions!$B$19)</f>
        <v>0.216505</v>
      </c>
      <c r="G28" s="4">
        <f>Bootstrap!D28</f>
        <v>0.90359999999999996</v>
      </c>
      <c r="H28" s="4">
        <f>IF(Corpus!Q28="None",1,Bootstrap!K28)</f>
        <v>0.94610000000000005</v>
      </c>
      <c r="I28" s="4">
        <f t="shared" si="0"/>
        <v>0.18508924981979999</v>
      </c>
      <c r="J28" s="4">
        <f t="shared" si="1"/>
        <v>3.5772819486822458</v>
      </c>
      <c r="K28" s="4">
        <f>J28*Assumptions!$B$9</f>
        <v>1.2627805278848327</v>
      </c>
      <c r="L28" s="4">
        <f>J28*Assumptions!$B$10</f>
        <v>0.18458774855200388</v>
      </c>
      <c r="M28" s="4">
        <f>J28*Assumptions!$B$21</f>
        <v>0.56843010164560892</v>
      </c>
    </row>
    <row r="29" spans="1:13" ht="15.75" customHeight="1" x14ac:dyDescent="0.15">
      <c r="A29" t="s">
        <v>143</v>
      </c>
      <c r="B29" s="4">
        <f>'Table 6'!L29</f>
        <v>13.501783088927857</v>
      </c>
      <c r="C29" s="3">
        <f>Corpus!E29</f>
        <v>60.9</v>
      </c>
      <c r="D29" s="3">
        <f>Corpus!F29</f>
        <v>9.1999999999999993</v>
      </c>
      <c r="E29" t="str">
        <f>Corpus!Q29</f>
        <v>Minimal (measured)</v>
      </c>
      <c r="F29" s="4">
        <f>IF(Corpus!R29="5x",Assumptions!$B$17,Assumptions!$B$19)</f>
        <v>0.216505</v>
      </c>
      <c r="G29" s="4">
        <f>Bootstrap!D29</f>
        <v>0.89029999999999998</v>
      </c>
      <c r="H29" s="4">
        <f>IF(Corpus!Q29="None",1,Bootstrap!K29)</f>
        <v>0.95140000000000002</v>
      </c>
      <c r="I29" s="4">
        <f t="shared" si="0"/>
        <v>0.18338653758710002</v>
      </c>
      <c r="J29" s="4">
        <f t="shared" si="1"/>
        <v>2.47604525193054</v>
      </c>
      <c r="K29" s="4">
        <f>J29*Assumptions!$B$9</f>
        <v>0.87404397393148059</v>
      </c>
      <c r="L29" s="4">
        <f>J29*Assumptions!$B$10</f>
        <v>0.12776393499961586</v>
      </c>
      <c r="M29" s="4">
        <f>J29*Assumptions!$B$21</f>
        <v>0.39344359053176287</v>
      </c>
    </row>
    <row r="30" spans="1:13" ht="15.75" customHeight="1" x14ac:dyDescent="0.15">
      <c r="A30" t="s">
        <v>145</v>
      </c>
      <c r="B30" s="4">
        <f>'Table 6'!L30</f>
        <v>11.169093486070381</v>
      </c>
      <c r="C30" s="3">
        <f>Corpus!E30</f>
        <v>61.2</v>
      </c>
      <c r="D30" s="3">
        <f>Corpus!F30</f>
        <v>8.6</v>
      </c>
      <c r="E30" t="str">
        <f>Corpus!Q30</f>
        <v>Low</v>
      </c>
      <c r="F30" s="4">
        <f>IF(Corpus!R30="5x",Assumptions!$B$17,Assumptions!$B$19)</f>
        <v>0.216505</v>
      </c>
      <c r="G30" s="4">
        <f>Bootstrap!D30</f>
        <v>0.89570000000000005</v>
      </c>
      <c r="H30" s="4">
        <f>IF(Corpus!Q30="None",1,Bootstrap!K30)</f>
        <v>0.9768</v>
      </c>
      <c r="I30" s="4">
        <f t="shared" si="0"/>
        <v>0.18942450263880004</v>
      </c>
      <c r="J30" s="4">
        <f t="shared" si="1"/>
        <v>2.1156999785251429</v>
      </c>
      <c r="K30" s="4">
        <f>J30*Assumptions!$B$9</f>
        <v>0.74684209241937538</v>
      </c>
      <c r="L30" s="4">
        <f>J30*Assumptions!$B$10</f>
        <v>0.10917011889189737</v>
      </c>
      <c r="M30" s="4">
        <f>J30*Assumptions!$B$21</f>
        <v>0.33618472658764526</v>
      </c>
    </row>
    <row r="31" spans="1:13" ht="15.75" customHeight="1" x14ac:dyDescent="0.15">
      <c r="A31" t="s">
        <v>146</v>
      </c>
      <c r="B31" s="4">
        <f>'Table 6'!L31</f>
        <v>13.122528916652982</v>
      </c>
      <c r="C31" s="3">
        <f>Corpus!E31</f>
        <v>61.4</v>
      </c>
      <c r="D31" s="3">
        <f>Corpus!F31</f>
        <v>9.1</v>
      </c>
      <c r="E31" t="str">
        <f>Corpus!Q31</f>
        <v>Medium</v>
      </c>
      <c r="F31" s="4">
        <f>IF(Corpus!R31="5x",Assumptions!$B$17,Assumptions!$B$19)</f>
        <v>0.216505</v>
      </c>
      <c r="G31" s="4">
        <f>Bootstrap!D31</f>
        <v>0.88339999999999996</v>
      </c>
      <c r="H31" s="4">
        <f>IF(Corpus!Q31="None",1,Bootstrap!K31)</f>
        <v>0.97219999999999995</v>
      </c>
      <c r="I31" s="4">
        <f t="shared" si="0"/>
        <v>0.18594347462739999</v>
      </c>
      <c r="J31" s="4">
        <f t="shared" si="1"/>
        <v>2.4400486226609863</v>
      </c>
      <c r="K31" s="4">
        <f>J31*Assumptions!$B$9</f>
        <v>0.86133716379932812</v>
      </c>
      <c r="L31" s="4">
        <f>J31*Assumptions!$B$10</f>
        <v>0.12590650892930688</v>
      </c>
      <c r="M31" s="4">
        <f>J31*Assumptions!$B$21</f>
        <v>0.38772372614083078</v>
      </c>
    </row>
    <row r="32" spans="1:13" ht="15.75" customHeight="1" x14ac:dyDescent="0.15">
      <c r="A32" t="s">
        <v>147</v>
      </c>
      <c r="B32" s="4">
        <f>'Table 6'!L32</f>
        <v>18.619052278546715</v>
      </c>
      <c r="C32" s="3">
        <f>Corpus!E32</f>
        <v>61.5</v>
      </c>
      <c r="D32" s="3">
        <f>Corpus!F32</f>
        <v>9</v>
      </c>
      <c r="E32" t="str">
        <f>Corpus!Q32</f>
        <v>High</v>
      </c>
      <c r="F32" s="4">
        <f>IF(Corpus!R32="5x",Assumptions!$B$17,Assumptions!$B$19)</f>
        <v>0.216505</v>
      </c>
      <c r="G32" s="4">
        <f>Bootstrap!D32</f>
        <v>0.8901</v>
      </c>
      <c r="H32" s="4">
        <f>IF(Corpus!Q32="None",1,Bootstrap!K32)</f>
        <v>0.97509999999999997</v>
      </c>
      <c r="I32" s="4">
        <f t="shared" si="0"/>
        <v>0.18791259409755001</v>
      </c>
      <c r="J32" s="4">
        <f t="shared" si="1"/>
        <v>3.4987544132996122</v>
      </c>
      <c r="K32" s="4">
        <f>J32*Assumptions!$B$9</f>
        <v>1.2350603078947631</v>
      </c>
      <c r="L32" s="4">
        <f>J32*Assumptions!$B$10</f>
        <v>0.18053572772626</v>
      </c>
      <c r="M32" s="4">
        <f>J32*Assumptions!$B$21</f>
        <v>0.55595207627330845</v>
      </c>
    </row>
    <row r="33" spans="1:13" ht="15.75" customHeight="1" x14ac:dyDescent="0.15">
      <c r="A33" t="s">
        <v>148</v>
      </c>
      <c r="B33" s="4">
        <f>'Table 6'!L33</f>
        <v>19.413891378567854</v>
      </c>
      <c r="C33" s="3">
        <f>Corpus!E33</f>
        <v>61.4</v>
      </c>
      <c r="D33" s="3">
        <f>Corpus!F33</f>
        <v>9.9</v>
      </c>
      <c r="E33" t="str">
        <f>Corpus!Q33</f>
        <v>xHigh</v>
      </c>
      <c r="F33" s="4">
        <f>IF(Corpus!R33="5x",Assumptions!$B$17,Assumptions!$B$19)</f>
        <v>0.216505</v>
      </c>
      <c r="G33" s="4">
        <f>Bootstrap!D33</f>
        <v>0.89200000000000002</v>
      </c>
      <c r="H33" s="4">
        <f>IF(Corpus!Q33="None",1,Bootstrap!K33)</f>
        <v>0.96760000000000002</v>
      </c>
      <c r="I33" s="4">
        <f t="shared" si="0"/>
        <v>0.18686529229599999</v>
      </c>
      <c r="J33" s="4">
        <f t="shared" si="1"/>
        <v>3.6277824870588762</v>
      </c>
      <c r="K33" s="4">
        <f>J33*Assumptions!$B$9</f>
        <v>1.2806072179317831</v>
      </c>
      <c r="L33" s="4">
        <f>J33*Assumptions!$B$10</f>
        <v>0.18719357633223802</v>
      </c>
      <c r="M33" s="4">
        <f>J33*Assumptions!$B$21</f>
        <v>0.57645463719365553</v>
      </c>
    </row>
    <row r="34" spans="1:13" ht="15.75" customHeight="1" x14ac:dyDescent="0.15">
      <c r="A34" t="s">
        <v>149</v>
      </c>
      <c r="B34" s="4">
        <f>'Table 6'!L34</f>
        <v>5.8235477321016171</v>
      </c>
      <c r="C34" s="3">
        <f>Corpus!E34</f>
        <v>127.8</v>
      </c>
      <c r="D34" s="3">
        <f>Corpus!F34</f>
        <v>19.899999999999999</v>
      </c>
      <c r="E34" t="str">
        <f>Corpus!Q34</f>
        <v>Minimal (measured)</v>
      </c>
      <c r="F34" s="4">
        <f>IF(Corpus!R34="5x",Assumptions!$B$17,Assumptions!$B$19)</f>
        <v>0.216505</v>
      </c>
      <c r="G34" s="4">
        <f>Bootstrap!D34</f>
        <v>0.88149999999999995</v>
      </c>
      <c r="H34" s="4">
        <f>IF(Corpus!Q34="None",1,Bootstrap!K34)</f>
        <v>0.98599999999999999</v>
      </c>
      <c r="I34" s="4">
        <f t="shared" si="0"/>
        <v>0.188177269295</v>
      </c>
      <c r="J34" s="4">
        <f t="shared" si="1"/>
        <v>1.0958593098359726</v>
      </c>
      <c r="K34" s="4">
        <f>J34*Assumptions!$B$9</f>
        <v>0.3868383363720983</v>
      </c>
      <c r="L34" s="4">
        <f>J34*Assumptions!$B$10</f>
        <v>5.6546340387536184E-2</v>
      </c>
      <c r="M34" s="4">
        <f>J34*Assumptions!$B$21</f>
        <v>0.17413204433293605</v>
      </c>
    </row>
    <row r="35" spans="1:13" ht="15.75" customHeight="1" x14ac:dyDescent="0.15">
      <c r="A35" t="s">
        <v>150</v>
      </c>
      <c r="B35" s="4">
        <f>'Table 6'!L35</f>
        <v>5.1278192836177476</v>
      </c>
      <c r="C35" s="3">
        <f>Corpus!E35</f>
        <v>130</v>
      </c>
      <c r="D35" s="3">
        <f>Corpus!F35</f>
        <v>21.1</v>
      </c>
      <c r="E35" t="str">
        <f>Corpus!Q35</f>
        <v>Low</v>
      </c>
      <c r="F35" s="4">
        <f>IF(Corpus!R35="5x",Assumptions!$B$17,Assumptions!$B$19)</f>
        <v>0.216505</v>
      </c>
      <c r="G35" s="4">
        <f>Bootstrap!D35</f>
        <v>0.88470000000000004</v>
      </c>
      <c r="H35" s="4">
        <f>IF(Corpus!Q35="None",1,Bootstrap!K35)</f>
        <v>0.99470000000000003</v>
      </c>
      <c r="I35" s="4">
        <f t="shared" si="0"/>
        <v>0.19052680104045003</v>
      </c>
      <c r="J35" s="4">
        <f t="shared" si="1"/>
        <v>0.97698700442122155</v>
      </c>
      <c r="K35" s="4">
        <f>J35*Assumptions!$B$9</f>
        <v>0.34487641256069118</v>
      </c>
      <c r="L35" s="4">
        <f>J35*Assumptions!$B$10</f>
        <v>5.0412529428135032E-2</v>
      </c>
      <c r="M35" s="4">
        <f>J35*Assumptions!$B$21</f>
        <v>0.15524323500253212</v>
      </c>
    </row>
    <row r="36" spans="1:13" ht="15.75" customHeight="1" x14ac:dyDescent="0.15">
      <c r="A36" t="s">
        <v>151</v>
      </c>
      <c r="B36" s="4">
        <f>'Table 6'!L36</f>
        <v>5.5371941647765182</v>
      </c>
      <c r="C36" s="3">
        <f>Corpus!E36</f>
        <v>135.1</v>
      </c>
      <c r="D36" s="3">
        <f>Corpus!F36</f>
        <v>29.1</v>
      </c>
      <c r="E36" t="str">
        <f>Corpus!Q36</f>
        <v>Medium</v>
      </c>
      <c r="F36" s="4">
        <f>IF(Corpus!R36="5x",Assumptions!$B$17,Assumptions!$B$19)</f>
        <v>0.216505</v>
      </c>
      <c r="G36" s="4">
        <f>Bootstrap!D36</f>
        <v>0.87709999999999999</v>
      </c>
      <c r="H36" s="4">
        <f>IF(Corpus!Q36="None",1,Bootstrap!K36)</f>
        <v>0.99070000000000003</v>
      </c>
      <c r="I36" s="4">
        <f t="shared" si="0"/>
        <v>0.18813049771984999</v>
      </c>
      <c r="J36" s="4">
        <f t="shared" si="1"/>
        <v>1.0417150941908555</v>
      </c>
      <c r="K36" s="4">
        <f>J36*Assumptions!$B$9</f>
        <v>0.36772542824937199</v>
      </c>
      <c r="L36" s="4">
        <f>J36*Assumptions!$B$10</f>
        <v>5.3752498860248146E-2</v>
      </c>
      <c r="M36" s="4">
        <f>J36*Assumptions!$B$21</f>
        <v>0.16552852846692695</v>
      </c>
    </row>
    <row r="37" spans="1:13" ht="15.75" customHeight="1" x14ac:dyDescent="0.15">
      <c r="A37" t="s">
        <v>152</v>
      </c>
      <c r="B37" s="4">
        <f>'Table 6'!L37</f>
        <v>7.4585223193359393</v>
      </c>
      <c r="C37" s="3">
        <f>Corpus!E37</f>
        <v>131.4</v>
      </c>
      <c r="D37" s="3">
        <f>Corpus!F37</f>
        <v>17.8</v>
      </c>
      <c r="E37" t="str">
        <f>Corpus!Q37</f>
        <v>High</v>
      </c>
      <c r="F37" s="4">
        <f>IF(Corpus!R37="5x",Assumptions!$B$17,Assumptions!$B$19)</f>
        <v>0.216505</v>
      </c>
      <c r="G37" s="4">
        <f>Bootstrap!D37</f>
        <v>0.89400000000000002</v>
      </c>
      <c r="H37" s="4">
        <f>IF(Corpus!Q37="None",1,Bootstrap!K37)</f>
        <v>0.96130000000000004</v>
      </c>
      <c r="I37" s="4">
        <f t="shared" si="0"/>
        <v>0.18606487331100002</v>
      </c>
      <c r="J37" s="4">
        <f t="shared" si="1"/>
        <v>1.3877690104345075</v>
      </c>
      <c r="K37" s="4">
        <f>J37*Assumptions!$B$9</f>
        <v>0.48988246068338115</v>
      </c>
      <c r="L37" s="4">
        <f>J37*Assumptions!$B$10</f>
        <v>7.1608880938420591E-2</v>
      </c>
      <c r="M37" s="4">
        <f>J37*Assumptions!$B$21</f>
        <v>0.22051649575804327</v>
      </c>
    </row>
    <row r="38" spans="1:13" ht="15.75" customHeight="1" x14ac:dyDescent="0.15">
      <c r="A38" t="s">
        <v>153</v>
      </c>
      <c r="B38" s="4">
        <f>'Table 6'!L38</f>
        <v>9.3688336887096781</v>
      </c>
      <c r="C38" s="3">
        <f>Corpus!E38</f>
        <v>130.1</v>
      </c>
      <c r="D38" s="3">
        <f>Corpus!F38</f>
        <v>20.3</v>
      </c>
      <c r="E38" t="str">
        <f>Corpus!Q38</f>
        <v>xHigh</v>
      </c>
      <c r="F38" s="4">
        <f>IF(Corpus!R38="5x",Assumptions!$B$17,Assumptions!$B$19)</f>
        <v>0.216505</v>
      </c>
      <c r="G38" s="4">
        <f>Bootstrap!D38</f>
        <v>0.90069999999999995</v>
      </c>
      <c r="H38" s="4">
        <f>IF(Corpus!Q38="None",1,Bootstrap!K38)</f>
        <v>0.96550000000000002</v>
      </c>
      <c r="I38" s="4">
        <f t="shared" si="0"/>
        <v>0.18827834465425</v>
      </c>
      <c r="J38" s="4">
        <f t="shared" si="1"/>
        <v>1.7639484982512292</v>
      </c>
      <c r="K38" s="4">
        <f>J38*Assumptions!$B$9</f>
        <v>0.62267381988268389</v>
      </c>
      <c r="L38" s="4">
        <f>J38*Assumptions!$B$10</f>
        <v>9.1019742509763427E-2</v>
      </c>
      <c r="M38" s="4">
        <f>J38*Assumptions!$B$21</f>
        <v>0.28029141637212035</v>
      </c>
    </row>
    <row r="39" spans="1:13" ht="15.75" customHeight="1" x14ac:dyDescent="0.15">
      <c r="A39" t="s">
        <v>154</v>
      </c>
      <c r="B39" s="4">
        <f>'Table 6'!L39</f>
        <v>12.867718113022116</v>
      </c>
      <c r="C39" s="3">
        <f>Corpus!E39</f>
        <v>53.9</v>
      </c>
      <c r="D39" s="3">
        <f>Corpus!F39</f>
        <v>6.4</v>
      </c>
      <c r="E39" t="str">
        <f>Corpus!Q39</f>
        <v>Minimal (measured)</v>
      </c>
      <c r="F39" s="4">
        <f>IF(Corpus!R39="5x",Assumptions!$B$17,Assumptions!$B$19)</f>
        <v>0.216505</v>
      </c>
      <c r="G39" s="4">
        <f>Bootstrap!D39</f>
        <v>0.89339999999999997</v>
      </c>
      <c r="H39" s="4">
        <f>IF(Corpus!Q39="None",1,Bootstrap!K39)</f>
        <v>0.98129999999999995</v>
      </c>
      <c r="I39" s="4">
        <f t="shared" si="0"/>
        <v>0.18980850889709999</v>
      </c>
      <c r="J39" s="4">
        <f t="shared" si="1"/>
        <v>2.4424023879409331</v>
      </c>
      <c r="K39" s="4">
        <f>J39*Assumptions!$B$9</f>
        <v>0.8621680429431493</v>
      </c>
      <c r="L39" s="4">
        <f>J39*Assumptions!$B$10</f>
        <v>0.12602796321775214</v>
      </c>
      <c r="M39" s="4">
        <f>J39*Assumptions!$B$21</f>
        <v>0.38809773944381432</v>
      </c>
    </row>
    <row r="40" spans="1:13" ht="15.75" customHeight="1" x14ac:dyDescent="0.15">
      <c r="A40" t="s">
        <v>155</v>
      </c>
      <c r="B40" s="4">
        <f>'Table 6'!L40</f>
        <v>12.003117842822478</v>
      </c>
      <c r="C40" s="3">
        <f>Corpus!E40</f>
        <v>53.2</v>
      </c>
      <c r="D40" s="3">
        <f>Corpus!F40</f>
        <v>8.1999999999999993</v>
      </c>
      <c r="E40" t="str">
        <f>Corpus!Q40</f>
        <v>Low</v>
      </c>
      <c r="F40" s="4">
        <f>IF(Corpus!R40="5x",Assumptions!$B$17,Assumptions!$B$19)</f>
        <v>0.216505</v>
      </c>
      <c r="G40" s="4">
        <f>Bootstrap!D40</f>
        <v>0.89339999999999997</v>
      </c>
      <c r="H40" s="4">
        <f>IF(Corpus!Q40="None",1,Bootstrap!K40)</f>
        <v>0.98750000000000004</v>
      </c>
      <c r="I40" s="4">
        <f t="shared" si="0"/>
        <v>0.19100774741250001</v>
      </c>
      <c r="J40" s="4">
        <f t="shared" si="1"/>
        <v>2.2926885010843079</v>
      </c>
      <c r="K40" s="4">
        <f>J40*Assumptions!$B$9</f>
        <v>0.80931904088276063</v>
      </c>
      <c r="L40" s="4">
        <f>J40*Assumptions!$B$10</f>
        <v>0.11830272665595029</v>
      </c>
      <c r="M40" s="4">
        <f>J40*Assumptions!$B$21</f>
        <v>0.36430820282229653</v>
      </c>
    </row>
    <row r="41" spans="1:13" ht="15.75" customHeight="1" x14ac:dyDescent="0.15">
      <c r="A41" t="s">
        <v>156</v>
      </c>
      <c r="B41" s="4">
        <f>'Table 6'!L41</f>
        <v>12.957027289429531</v>
      </c>
      <c r="C41" s="3">
        <f>Corpus!E41</f>
        <v>54.4</v>
      </c>
      <c r="D41" s="3">
        <f>Corpus!F41</f>
        <v>6.5</v>
      </c>
      <c r="E41" t="str">
        <f>Corpus!Q41</f>
        <v>Medium</v>
      </c>
      <c r="F41" s="4">
        <f>IF(Corpus!R41="5x",Assumptions!$B$17,Assumptions!$B$19)</f>
        <v>0.216505</v>
      </c>
      <c r="G41" s="4">
        <f>Bootstrap!D41</f>
        <v>0.87460000000000004</v>
      </c>
      <c r="H41" s="4">
        <f>IF(Corpus!Q41="None",1,Bootstrap!K41)</f>
        <v>0.98260000000000003</v>
      </c>
      <c r="I41" s="4">
        <f t="shared" si="0"/>
        <v>0.18606049124980004</v>
      </c>
      <c r="J41" s="4">
        <f t="shared" si="1"/>
        <v>2.4107908626083234</v>
      </c>
      <c r="K41" s="4">
        <f>J41*Assumptions!$B$9</f>
        <v>0.8510091745007381</v>
      </c>
      <c r="L41" s="4">
        <f>J41*Assumptions!$B$10</f>
        <v>0.12439680851058948</v>
      </c>
      <c r="M41" s="4">
        <f>J41*Assumptions!$B$21</f>
        <v>0.38307466806846263</v>
      </c>
    </row>
    <row r="42" spans="1:13" ht="15.75" customHeight="1" x14ac:dyDescent="0.15">
      <c r="A42" t="s">
        <v>157</v>
      </c>
      <c r="B42" s="4">
        <f>'Table 6'!L42</f>
        <v>14.458154422151781</v>
      </c>
      <c r="C42" s="3">
        <f>Corpus!E42</f>
        <v>53.5</v>
      </c>
      <c r="D42" s="3">
        <f>Corpus!F42</f>
        <v>6.6</v>
      </c>
      <c r="E42" t="str">
        <f>Corpus!Q42</f>
        <v>High</v>
      </c>
      <c r="F42" s="4">
        <f>IF(Corpus!R42="5x",Assumptions!$B$17,Assumptions!$B$19)</f>
        <v>0.216505</v>
      </c>
      <c r="G42" s="4">
        <f>Bootstrap!D42</f>
        <v>0.89510000000000001</v>
      </c>
      <c r="H42" s="4">
        <f>IF(Corpus!Q42="None",1,Bootstrap!K42)</f>
        <v>0.98519999999999996</v>
      </c>
      <c r="I42" s="4">
        <f t="shared" si="0"/>
        <v>0.1909254798426</v>
      </c>
      <c r="J42" s="4">
        <f t="shared" si="1"/>
        <v>2.7604300706877378</v>
      </c>
      <c r="K42" s="4">
        <f>J42*Assumptions!$B$9</f>
        <v>0.97443181495277142</v>
      </c>
      <c r="L42" s="4">
        <f>J42*Assumptions!$B$10</f>
        <v>0.14243819164748728</v>
      </c>
      <c r="M42" s="4">
        <f>J42*Assumptions!$B$21</f>
        <v>0.43863233823228159</v>
      </c>
    </row>
    <row r="43" spans="1:13" ht="15.75" customHeight="1" x14ac:dyDescent="0.15">
      <c r="A43" t="s">
        <v>158</v>
      </c>
      <c r="B43" s="4">
        <f>'Table 6'!L43</f>
        <v>16.356577208205035</v>
      </c>
      <c r="C43" s="3">
        <f>Corpus!E43</f>
        <v>54.7</v>
      </c>
      <c r="D43" s="3">
        <f>Corpus!F43</f>
        <v>8.5</v>
      </c>
      <c r="E43" t="str">
        <f>Corpus!Q43</f>
        <v>xHigh</v>
      </c>
      <c r="F43" s="4">
        <f>IF(Corpus!R43="5x",Assumptions!$B$17,Assumptions!$B$19)</f>
        <v>0.216505</v>
      </c>
      <c r="G43" s="4">
        <f>Bootstrap!D43</f>
        <v>0.85729999999999995</v>
      </c>
      <c r="H43" s="4">
        <f>IF(Corpus!Q43="None",1,Bootstrap!K43)</f>
        <v>0.97489999999999999</v>
      </c>
      <c r="I43" s="4">
        <f t="shared" si="0"/>
        <v>0.18095093211384999</v>
      </c>
      <c r="J43" s="4">
        <f t="shared" si="1"/>
        <v>2.9597378920168556</v>
      </c>
      <c r="K43" s="4">
        <f>J43*Assumptions!$B$9</f>
        <v>1.04478747588195</v>
      </c>
      <c r="L43" s="4">
        <f>J43*Assumptions!$B$10</f>
        <v>0.15272247522806975</v>
      </c>
      <c r="M43" s="4">
        <f>J43*Assumptions!$B$21</f>
        <v>0.47030235104147838</v>
      </c>
    </row>
    <row r="44" spans="1:13" ht="15.75" customHeight="1" x14ac:dyDescent="0.15">
      <c r="A44" t="s">
        <v>159</v>
      </c>
      <c r="B44" s="4">
        <f>'Table 6'!L44</f>
        <v>16.356577208205035</v>
      </c>
      <c r="C44" s="3">
        <f>Corpus!E44</f>
        <v>54.7</v>
      </c>
      <c r="D44" s="3">
        <f>Corpus!F44</f>
        <v>8.5</v>
      </c>
      <c r="E44" t="str">
        <f>Corpus!Q44</f>
        <v>Max (floor)</v>
      </c>
      <c r="F44" s="4">
        <f>IF(Corpus!R44="5x",Assumptions!$B$17,Assumptions!$B$19)</f>
        <v>0.216505</v>
      </c>
      <c r="G44" s="4">
        <f>Bootstrap!D44</f>
        <v>0.85729999999999995</v>
      </c>
      <c r="H44" s="4">
        <f>IF(Corpus!Q44="None",1,Bootstrap!K44)</f>
        <v>0.97489999999999999</v>
      </c>
      <c r="I44" s="4">
        <f t="shared" si="0"/>
        <v>0.18095093211384999</v>
      </c>
      <c r="J44" s="4">
        <f t="shared" si="1"/>
        <v>2.9597378920168556</v>
      </c>
      <c r="K44" s="4">
        <f>J44*Assumptions!$B$9</f>
        <v>1.04478747588195</v>
      </c>
      <c r="L44" s="4">
        <f>J44*Assumptions!$B$10</f>
        <v>0.15272247522806975</v>
      </c>
      <c r="M44" s="4">
        <f>J44*Assumptions!$B$21</f>
        <v>0.47030235104147838</v>
      </c>
    </row>
    <row r="45" spans="1:13" ht="15.75" customHeight="1" x14ac:dyDescent="0.15">
      <c r="A45" t="s">
        <v>161</v>
      </c>
      <c r="B45" s="4">
        <f>'Table 6'!L45</f>
        <v>6.7368405624161074</v>
      </c>
      <c r="C45" s="3">
        <f>Corpus!E45</f>
        <v>94.5</v>
      </c>
      <c r="D45" s="3">
        <f>Corpus!F45</f>
        <v>11.9</v>
      </c>
      <c r="E45" t="str">
        <f>Corpus!Q45</f>
        <v>Minimal (measured)</v>
      </c>
      <c r="F45" s="4">
        <f>IF(Corpus!R45="5x",Assumptions!$B$17,Assumptions!$B$19)</f>
        <v>0.216505</v>
      </c>
      <c r="G45" s="4">
        <f>Bootstrap!D45</f>
        <v>0.8911</v>
      </c>
      <c r="H45" s="4">
        <f>IF(Corpus!Q45="None",1,Bootstrap!K45)</f>
        <v>0.98980000000000001</v>
      </c>
      <c r="I45" s="4">
        <f t="shared" si="0"/>
        <v>0.19095974392390003</v>
      </c>
      <c r="J45" s="4">
        <f t="shared" si="1"/>
        <v>1.2864653486551225</v>
      </c>
      <c r="K45" s="4">
        <f>J45*Assumptions!$B$9</f>
        <v>0.45412226807525824</v>
      </c>
      <c r="L45" s="4">
        <f>J45*Assumptions!$B$10</f>
        <v>6.6381611990604328E-2</v>
      </c>
      <c r="M45" s="4">
        <f>J45*Assumptions!$B$21</f>
        <v>0.20441934390129898</v>
      </c>
    </row>
    <row r="46" spans="1:13" ht="15.75" customHeight="1" x14ac:dyDescent="0.15">
      <c r="A46" t="s">
        <v>162</v>
      </c>
      <c r="B46" s="4">
        <f>'Table 6'!L46</f>
        <v>6.8689992825552828</v>
      </c>
      <c r="C46" s="3">
        <f>Corpus!E46</f>
        <v>93.1</v>
      </c>
      <c r="D46" s="3">
        <f>Corpus!F46</f>
        <v>9.6999999999999993</v>
      </c>
      <c r="E46" t="str">
        <f>Corpus!Q46</f>
        <v>Low</v>
      </c>
      <c r="F46" s="4">
        <f>IF(Corpus!R46="5x",Assumptions!$B$17,Assumptions!$B$19)</f>
        <v>0.216505</v>
      </c>
      <c r="G46" s="4">
        <f>Bootstrap!D46</f>
        <v>0.90069999999999995</v>
      </c>
      <c r="H46" s="4">
        <f>IF(Corpus!Q46="None",1,Bootstrap!K46)</f>
        <v>0.98399999999999999</v>
      </c>
      <c r="I46" s="4">
        <f t="shared" si="0"/>
        <v>0.19188595664399999</v>
      </c>
      <c r="J46" s="4">
        <f t="shared" si="1"/>
        <v>1.31806449852007</v>
      </c>
      <c r="K46" s="4">
        <f>J46*Assumptions!$B$9</f>
        <v>0.46527676797758472</v>
      </c>
      <c r="L46" s="4">
        <f>J46*Assumptions!$B$10</f>
        <v>6.8012128123635607E-2</v>
      </c>
      <c r="M46" s="4">
        <f>J46*Assumptions!$B$21</f>
        <v>0.20944044881483914</v>
      </c>
    </row>
    <row r="47" spans="1:13" ht="15.75" customHeight="1" x14ac:dyDescent="0.15">
      <c r="A47" t="s">
        <v>163</v>
      </c>
      <c r="B47" s="4">
        <f>'Table 6'!L47</f>
        <v>6.8283261190702103</v>
      </c>
      <c r="C47" s="3">
        <f>Corpus!E47</f>
        <v>93.5</v>
      </c>
      <c r="D47" s="3">
        <f>Corpus!F47</f>
        <v>9.1</v>
      </c>
      <c r="E47" t="str">
        <f>Corpus!Q47</f>
        <v>Medium</v>
      </c>
      <c r="F47" s="4">
        <f>IF(Corpus!R47="5x",Assumptions!$B$17,Assumptions!$B$19)</f>
        <v>0.216505</v>
      </c>
      <c r="G47" s="4">
        <f>Bootstrap!D47</f>
        <v>0.89880000000000004</v>
      </c>
      <c r="H47" s="4">
        <f>IF(Corpus!Q47="None",1,Bootstrap!K47)</f>
        <v>0.98140000000000005</v>
      </c>
      <c r="I47" s="4">
        <f t="shared" si="0"/>
        <v>0.19097523269160002</v>
      </c>
      <c r="J47" s="4">
        <f t="shared" si="1"/>
        <v>1.3040411694835634</v>
      </c>
      <c r="K47" s="4">
        <f>J47*Assumptions!$B$9</f>
        <v>0.46032653282769787</v>
      </c>
      <c r="L47" s="4">
        <f>J47*Assumptions!$B$10</f>
        <v>6.7288524345351874E-2</v>
      </c>
      <c r="M47" s="4">
        <f>J47*Assumptions!$B$21</f>
        <v>0.20721214183093825</v>
      </c>
    </row>
    <row r="48" spans="1:13" ht="15.75" customHeight="1" x14ac:dyDescent="0.15">
      <c r="A48" t="s">
        <v>164</v>
      </c>
      <c r="B48" s="4">
        <f>'Table 6'!L48</f>
        <v>7.17712477151382</v>
      </c>
      <c r="C48" s="3">
        <f>Corpus!E48</f>
        <v>94</v>
      </c>
      <c r="D48" s="3">
        <f>Corpus!F48</f>
        <v>9.6999999999999993</v>
      </c>
      <c r="E48" t="str">
        <f>Corpus!Q48</f>
        <v>High</v>
      </c>
      <c r="F48" s="4">
        <f>IF(Corpus!R48="5x",Assumptions!$B$17,Assumptions!$B$19)</f>
        <v>0.216505</v>
      </c>
      <c r="G48" s="4">
        <f>Bootstrap!D48</f>
        <v>0.90069999999999995</v>
      </c>
      <c r="H48" s="4">
        <f>IF(Corpus!Q48="None",1,Bootstrap!K48)</f>
        <v>0.99209999999999998</v>
      </c>
      <c r="I48" s="4">
        <f t="shared" si="0"/>
        <v>0.19346550567734999</v>
      </c>
      <c r="J48" s="4">
        <f t="shared" si="1"/>
        <v>1.3885260732303562</v>
      </c>
      <c r="K48" s="4">
        <f>J48*Assumptions!$B$9</f>
        <v>0.4901497038503157</v>
      </c>
      <c r="L48" s="4">
        <f>J48*Assumptions!$B$10</f>
        <v>7.1647945378686378E-2</v>
      </c>
      <c r="M48" s="4">
        <f>J48*Assumptions!$B$21</f>
        <v>0.22063679303630362</v>
      </c>
    </row>
    <row r="49" spans="1:13" ht="15.75" customHeight="1" x14ac:dyDescent="0.15">
      <c r="A49" t="s">
        <v>165</v>
      </c>
      <c r="B49" s="4">
        <f>'Table 6'!L49</f>
        <v>8.3417642608695655</v>
      </c>
      <c r="C49" s="3">
        <f>Corpus!E49</f>
        <v>94.7</v>
      </c>
      <c r="D49" s="3">
        <f>Corpus!F49</f>
        <v>8.4</v>
      </c>
      <c r="E49" t="str">
        <f>Corpus!Q49</f>
        <v>xHigh</v>
      </c>
      <c r="F49" s="4">
        <f>IF(Corpus!R49="5x",Assumptions!$B$17,Assumptions!$B$19)</f>
        <v>0.216505</v>
      </c>
      <c r="G49" s="4">
        <f>Bootstrap!D49</f>
        <v>0.89170000000000005</v>
      </c>
      <c r="H49" s="4">
        <f>IF(Corpus!Q49="None",1,Bootstrap!K49)</f>
        <v>0.97460000000000002</v>
      </c>
      <c r="I49" s="4">
        <f t="shared" si="0"/>
        <v>0.18815384778410002</v>
      </c>
      <c r="J49" s="4">
        <f t="shared" si="1"/>
        <v>1.5695350429904977</v>
      </c>
      <c r="K49" s="4">
        <f>J49*Assumptions!$B$9</f>
        <v>0.55404587017564566</v>
      </c>
      <c r="L49" s="4">
        <f>J49*Assumptions!$B$10</f>
        <v>8.0988008218309676E-2</v>
      </c>
      <c r="M49" s="4">
        <f>J49*Assumptions!$B$21</f>
        <v>0.24939911833119011</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9"/>
  <sheetViews>
    <sheetView zoomScaleNormal="100" workbookViewId="0"/>
  </sheetViews>
  <sheetFormatPr baseColWidth="10" defaultColWidth="14.5" defaultRowHeight="15" customHeight="1" x14ac:dyDescent="0.15"/>
  <cols>
    <col min="1" max="1" width="26" customWidth="1"/>
    <col min="2" max="2" width="12" customWidth="1"/>
    <col min="3" max="3" width="10" customWidth="1"/>
    <col min="4" max="4" width="9" customWidth="1"/>
    <col min="5" max="5" width="18" customWidth="1"/>
    <col min="6" max="7" width="10" customWidth="1"/>
    <col min="8" max="8" width="8" customWidth="1"/>
    <col min="9" max="9" width="12" customWidth="1"/>
    <col min="10" max="10" width="10" customWidth="1"/>
    <col min="11" max="13" width="20" customWidth="1"/>
  </cols>
  <sheetData>
    <row r="1" spans="1:13" ht="15" customHeight="1" x14ac:dyDescent="0.15">
      <c r="A1" s="1" t="s">
        <v>336</v>
      </c>
    </row>
    <row r="2" spans="1:13" ht="15" customHeight="1" x14ac:dyDescent="0.15">
      <c r="A2" s="1" t="s">
        <v>167</v>
      </c>
      <c r="B2" s="1" t="s">
        <v>185</v>
      </c>
      <c r="C2" s="1" t="s">
        <v>186</v>
      </c>
      <c r="D2" s="1" t="s">
        <v>187</v>
      </c>
      <c r="E2" s="1" t="s">
        <v>176</v>
      </c>
      <c r="F2" s="1" t="s">
        <v>196</v>
      </c>
      <c r="G2" s="1" t="s">
        <v>197</v>
      </c>
      <c r="H2" s="1" t="s">
        <v>198</v>
      </c>
      <c r="I2" s="1" t="s">
        <v>191</v>
      </c>
      <c r="J2" s="1" t="s">
        <v>199</v>
      </c>
      <c r="K2" s="1" t="s">
        <v>193</v>
      </c>
      <c r="L2" s="1" t="s">
        <v>194</v>
      </c>
      <c r="M2" s="1" t="s">
        <v>195</v>
      </c>
    </row>
    <row r="3" spans="1:13" ht="15" customHeight="1" x14ac:dyDescent="0.15">
      <c r="A3" t="s">
        <v>105</v>
      </c>
      <c r="B3" s="4">
        <f>'Table 6'!L3</f>
        <v>2.0195000000000003</v>
      </c>
      <c r="C3" s="3">
        <f>Corpus!E3</f>
        <v>80.099999999999994</v>
      </c>
      <c r="D3" s="3">
        <f>Corpus!F3</f>
        <v>23.9</v>
      </c>
      <c r="E3" t="str">
        <f>Corpus!Q3</f>
        <v>None</v>
      </c>
      <c r="F3" s="4">
        <f>IF(Corpus!R3="5x",Assumptions!$B$18,Assumptions!$B$20)</f>
        <v>1.236</v>
      </c>
      <c r="G3" s="4">
        <f>Bootstrap!E3</f>
        <v>1.1563000000000001</v>
      </c>
      <c r="H3" s="4">
        <f>IF(Corpus!Q3="None",1,Bootstrap!L3)</f>
        <v>1</v>
      </c>
      <c r="I3" s="4">
        <f t="shared" ref="I3:I49" si="0">F3*G3*H3</f>
        <v>1.4291868000000001</v>
      </c>
      <c r="J3" s="4">
        <f t="shared" ref="J3:J49" si="1">B3*I3</f>
        <v>2.8862427426000008</v>
      </c>
      <c r="K3" s="4">
        <f>J3*Assumptions!$B$9</f>
        <v>1.0188436881378002</v>
      </c>
      <c r="L3" s="4">
        <f>J3*Assumptions!$B$10</f>
        <v>0.14893012551816004</v>
      </c>
      <c r="M3" s="4">
        <f>J3*Assumptions!$B$21</f>
        <v>0.45862397179914016</v>
      </c>
    </row>
    <row r="4" spans="1:13" ht="15" customHeight="1" x14ac:dyDescent="0.15">
      <c r="A4" t="s">
        <v>108</v>
      </c>
      <c r="B4" s="4">
        <f>'Table 6'!L4</f>
        <v>7.7788628084896345</v>
      </c>
      <c r="C4" s="3">
        <f>Corpus!E4</f>
        <v>61.4</v>
      </c>
      <c r="D4" s="3">
        <f>Corpus!F4</f>
        <v>13.3</v>
      </c>
      <c r="E4" t="str">
        <f>Corpus!Q4</f>
        <v>None</v>
      </c>
      <c r="F4" s="4">
        <f>IF(Corpus!R4="5x",Assumptions!$B$18,Assumptions!$B$20)</f>
        <v>1.82928</v>
      </c>
      <c r="G4" s="4">
        <f>Bootstrap!E4</f>
        <v>1.1253</v>
      </c>
      <c r="H4" s="4">
        <f>IF(Corpus!Q4="None",1,Bootstrap!L4)</f>
        <v>1</v>
      </c>
      <c r="I4" s="4">
        <f t="shared" si="0"/>
        <v>2.0584887840000001</v>
      </c>
      <c r="J4" s="4">
        <f t="shared" si="1"/>
        <v>16.012701843550655</v>
      </c>
      <c r="K4" s="4">
        <f>J4*Assumptions!$B$9</f>
        <v>5.6524837507733805</v>
      </c>
      <c r="L4" s="4">
        <f>J4*Assumptions!$B$10</f>
        <v>0.82625541512721379</v>
      </c>
      <c r="M4" s="4">
        <f>J4*Assumptions!$B$21</f>
        <v>2.5444183229401993</v>
      </c>
    </row>
    <row r="5" spans="1:13" ht="15" customHeight="1" x14ac:dyDescent="0.15">
      <c r="A5" t="s">
        <v>111</v>
      </c>
      <c r="B5" s="4">
        <f>'Table 6'!L5</f>
        <v>17.284301602377052</v>
      </c>
      <c r="C5" s="3">
        <f>Corpus!E5</f>
        <v>61.7</v>
      </c>
      <c r="D5" s="3">
        <f>Corpus!F5</f>
        <v>14.2</v>
      </c>
      <c r="E5" t="str">
        <f>Corpus!Q5</f>
        <v>Low</v>
      </c>
      <c r="F5" s="4">
        <f>IF(Corpus!R5="5x",Assumptions!$B$18,Assumptions!$B$20)</f>
        <v>1.82928</v>
      </c>
      <c r="G5" s="4">
        <f>Bootstrap!E5</f>
        <v>1.1249</v>
      </c>
      <c r="H5" s="4">
        <f>IF(Corpus!Q5="None",1,Bootstrap!L5)</f>
        <v>1.0356000000000001</v>
      </c>
      <c r="I5" s="4">
        <f t="shared" si="0"/>
        <v>2.1310132237632002</v>
      </c>
      <c r="J5" s="4">
        <f t="shared" si="1"/>
        <v>36.83307527817697</v>
      </c>
      <c r="K5" s="4">
        <f>J5*Assumptions!$B$9</f>
        <v>13.002075573196469</v>
      </c>
      <c r="L5" s="4">
        <f>J5*Assumptions!$B$10</f>
        <v>1.9005866843539316</v>
      </c>
      <c r="M5" s="4">
        <f>J5*Assumptions!$B$21</f>
        <v>5.8527756617023208</v>
      </c>
    </row>
    <row r="6" spans="1:13" ht="15" customHeight="1" x14ac:dyDescent="0.15">
      <c r="A6" t="s">
        <v>113</v>
      </c>
      <c r="B6" s="4">
        <f>'Table 6'!L6</f>
        <v>28.604840727272727</v>
      </c>
      <c r="C6" s="3">
        <f>Corpus!E6</f>
        <v>60.8</v>
      </c>
      <c r="D6" s="3">
        <f>Corpus!F6</f>
        <v>14.5</v>
      </c>
      <c r="E6" t="str">
        <f>Corpus!Q6</f>
        <v>Medium</v>
      </c>
      <c r="F6" s="4">
        <f>IF(Corpus!R6="5x",Assumptions!$B$18,Assumptions!$B$20)</f>
        <v>1.82928</v>
      </c>
      <c r="G6" s="4">
        <f>Bootstrap!E6</f>
        <v>1.1298999999999999</v>
      </c>
      <c r="H6" s="4">
        <f>IF(Corpus!Q6="None",1,Bootstrap!L6)</f>
        <v>1.046</v>
      </c>
      <c r="I6" s="4">
        <f t="shared" si="0"/>
        <v>2.1619810317120001</v>
      </c>
      <c r="J6" s="4">
        <f t="shared" si="1"/>
        <v>61.843123067506525</v>
      </c>
      <c r="K6" s="4">
        <f>J6*Assumptions!$B$9</f>
        <v>21.830622442829803</v>
      </c>
      <c r="L6" s="4">
        <f>J6*Assumptions!$B$10</f>
        <v>3.1911051502833367</v>
      </c>
      <c r="M6" s="4">
        <f>J6*Assumptions!$B$21</f>
        <v>9.8268722554267871</v>
      </c>
    </row>
    <row r="7" spans="1:13" ht="15" customHeight="1" x14ac:dyDescent="0.15">
      <c r="A7" t="s">
        <v>115</v>
      </c>
      <c r="B7" s="4">
        <f>'Table 6'!L7</f>
        <v>41.935240619999995</v>
      </c>
      <c r="C7" s="3">
        <f>Corpus!E7</f>
        <v>68.099999999999994</v>
      </c>
      <c r="D7" s="3">
        <f>Corpus!F7</f>
        <v>15.7</v>
      </c>
      <c r="E7" t="str">
        <f>Corpus!Q7</f>
        <v>High</v>
      </c>
      <c r="F7" s="4">
        <f>IF(Corpus!R7="5x",Assumptions!$B$18,Assumptions!$B$20)</f>
        <v>1.82928</v>
      </c>
      <c r="G7" s="4">
        <f>Bootstrap!E7</f>
        <v>1.1202000000000001</v>
      </c>
      <c r="H7" s="4">
        <f>IF(Corpus!Q7="None",1,Bootstrap!L7)</f>
        <v>1.0592999999999999</v>
      </c>
      <c r="I7" s="4">
        <f t="shared" si="0"/>
        <v>2.1706746117408002</v>
      </c>
      <c r="J7" s="4">
        <f t="shared" si="1"/>
        <v>91.027762151075521</v>
      </c>
      <c r="K7" s="4">
        <f>J7*Assumptions!$B$9</f>
        <v>32.132800039329659</v>
      </c>
      <c r="L7" s="4">
        <f>J7*Assumptions!$B$10</f>
        <v>4.6970325269954971</v>
      </c>
      <c r="M7" s="4">
        <f>J7*Assumptions!$B$21</f>
        <v>14.464311405805901</v>
      </c>
    </row>
    <row r="8" spans="1:13" ht="15" customHeight="1" x14ac:dyDescent="0.15">
      <c r="A8" t="s">
        <v>117</v>
      </c>
      <c r="B8" s="4">
        <f>'Table 6'!L8</f>
        <v>28.666084165319322</v>
      </c>
      <c r="C8" s="3">
        <f>Corpus!E8</f>
        <v>63.8</v>
      </c>
      <c r="D8" s="3">
        <f>Corpus!F8</f>
        <v>16.7</v>
      </c>
      <c r="E8" t="str">
        <f>Corpus!Q8</f>
        <v>xHigh</v>
      </c>
      <c r="F8" s="4">
        <f>IF(Corpus!R8="5x",Assumptions!$B$18,Assumptions!$B$20)</f>
        <v>1.82928</v>
      </c>
      <c r="G8" s="4">
        <f>Bootstrap!E8</f>
        <v>1.1394</v>
      </c>
      <c r="H8" s="4">
        <f>IF(Corpus!Q8="None",1,Bootstrap!L8)</f>
        <v>1.079</v>
      </c>
      <c r="I8" s="4">
        <f t="shared" si="0"/>
        <v>2.2489398809279999</v>
      </c>
      <c r="J8" s="4">
        <f t="shared" si="1"/>
        <v>64.468299909425255</v>
      </c>
      <c r="K8" s="4">
        <f>J8*Assumptions!$B$9</f>
        <v>22.757309868027114</v>
      </c>
      <c r="L8" s="4">
        <f>J8*Assumptions!$B$10</f>
        <v>3.3265642753263434</v>
      </c>
      <c r="M8" s="4">
        <f>J8*Assumptions!$B$21</f>
        <v>10.244012855607673</v>
      </c>
    </row>
    <row r="9" spans="1:13" ht="15" customHeight="1" x14ac:dyDescent="0.15">
      <c r="A9" t="s">
        <v>119</v>
      </c>
      <c r="B9" s="4">
        <f>'Table 6'!L9</f>
        <v>7.8407841044776125</v>
      </c>
      <c r="C9" s="3">
        <f>Corpus!E9</f>
        <v>59.6</v>
      </c>
      <c r="D9" s="3">
        <f>Corpus!F9</f>
        <v>6.4</v>
      </c>
      <c r="E9" t="str">
        <f>Corpus!Q9</f>
        <v>None</v>
      </c>
      <c r="F9" s="4">
        <f>IF(Corpus!R9="5x",Assumptions!$B$18,Assumptions!$B$20)</f>
        <v>1.82928</v>
      </c>
      <c r="G9" s="4">
        <f>Bootstrap!E9</f>
        <v>1.1051</v>
      </c>
      <c r="H9" s="4">
        <f>IF(Corpus!Q9="None",1,Bootstrap!L9)</f>
        <v>1</v>
      </c>
      <c r="I9" s="4">
        <f t="shared" si="0"/>
        <v>2.021537328</v>
      </c>
      <c r="J9" s="4">
        <f t="shared" si="1"/>
        <v>15.850437747990545</v>
      </c>
      <c r="K9" s="4">
        <f>J9*Assumptions!$B$9</f>
        <v>5.5952045250406623</v>
      </c>
      <c r="L9" s="4">
        <f>J9*Assumptions!$B$10</f>
        <v>0.81788258779631218</v>
      </c>
      <c r="M9" s="4">
        <f>J9*Assumptions!$B$21</f>
        <v>2.5186345581556977</v>
      </c>
    </row>
    <row r="10" spans="1:13" ht="15" customHeight="1" x14ac:dyDescent="0.15">
      <c r="A10" t="s">
        <v>121</v>
      </c>
      <c r="B10" s="4">
        <f>'Table 6'!L10</f>
        <v>13.724575006170692</v>
      </c>
      <c r="C10" s="3">
        <f>Corpus!E10</f>
        <v>57</v>
      </c>
      <c r="D10" s="3">
        <f>Corpus!F10</f>
        <v>6</v>
      </c>
      <c r="E10" t="str">
        <f>Corpus!Q10</f>
        <v>Low</v>
      </c>
      <c r="F10" s="4">
        <f>IF(Corpus!R10="5x",Assumptions!$B$18,Assumptions!$B$20)</f>
        <v>1.82928</v>
      </c>
      <c r="G10" s="4">
        <f>Bootstrap!E10</f>
        <v>1.1178999999999999</v>
      </c>
      <c r="H10" s="4">
        <f>IF(Corpus!Q10="None",1,Bootstrap!L10)</f>
        <v>1.0318000000000001</v>
      </c>
      <c r="I10" s="4">
        <f t="shared" si="0"/>
        <v>2.1099815891615998</v>
      </c>
      <c r="J10" s="4">
        <f t="shared" si="1"/>
        <v>28.958600582087612</v>
      </c>
      <c r="K10" s="4">
        <f>J10*Assumptions!$B$9</f>
        <v>10.222386005476926</v>
      </c>
      <c r="L10" s="4">
        <f>J10*Assumptions!$B$10</f>
        <v>1.4942637900357207</v>
      </c>
      <c r="M10" s="4">
        <f>J10*Assumptions!$B$21</f>
        <v>4.6015216324937223</v>
      </c>
    </row>
    <row r="11" spans="1:13" ht="15" customHeight="1" x14ac:dyDescent="0.15">
      <c r="A11" t="s">
        <v>122</v>
      </c>
      <c r="B11" s="4">
        <f>'Table 6'!L11</f>
        <v>15.056259570093459</v>
      </c>
      <c r="C11" s="3">
        <f>Corpus!E11</f>
        <v>57.9</v>
      </c>
      <c r="D11" s="3">
        <f>Corpus!F11</f>
        <v>6.3</v>
      </c>
      <c r="E11" t="str">
        <f>Corpus!Q11</f>
        <v>Medium</v>
      </c>
      <c r="F11" s="4">
        <f>IF(Corpus!R11="5x",Assumptions!$B$18,Assumptions!$B$20)</f>
        <v>1.82928</v>
      </c>
      <c r="G11" s="4">
        <f>Bootstrap!E11</f>
        <v>1.1138999999999999</v>
      </c>
      <c r="H11" s="4">
        <f>IF(Corpus!Q11="None",1,Bootstrap!L11)</f>
        <v>1.0163</v>
      </c>
      <c r="I11" s="4">
        <f t="shared" si="0"/>
        <v>2.0708484423695994</v>
      </c>
      <c r="J11" s="4">
        <f t="shared" si="1"/>
        <v>31.179231678640416</v>
      </c>
      <c r="K11" s="4">
        <f>J11*Assumptions!$B$9</f>
        <v>11.006268782560067</v>
      </c>
      <c r="L11" s="4">
        <f>J11*Assumptions!$B$10</f>
        <v>1.6088483546178456</v>
      </c>
      <c r="M11" s="4">
        <f>J11*Assumptions!$B$21</f>
        <v>4.9543799137359628</v>
      </c>
    </row>
    <row r="12" spans="1:13" ht="15" customHeight="1" x14ac:dyDescent="0.15">
      <c r="A12" t="s">
        <v>123</v>
      </c>
      <c r="B12" s="4">
        <f>'Table 6'!L12</f>
        <v>16.811745339726748</v>
      </c>
      <c r="C12" s="3">
        <f>Corpus!E12</f>
        <v>57.5</v>
      </c>
      <c r="D12" s="3">
        <f>Corpus!F12</f>
        <v>6.4</v>
      </c>
      <c r="E12" t="str">
        <f>Corpus!Q12</f>
        <v>High</v>
      </c>
      <c r="F12" s="4">
        <f>IF(Corpus!R12="5x",Assumptions!$B$18,Assumptions!$B$20)</f>
        <v>1.82928</v>
      </c>
      <c r="G12" s="4">
        <f>Bootstrap!E12</f>
        <v>1.101</v>
      </c>
      <c r="H12" s="4">
        <f>IF(Corpus!Q12="None",1,Bootstrap!L12)</f>
        <v>1.0078</v>
      </c>
      <c r="I12" s="4">
        <f t="shared" si="0"/>
        <v>2.029746770784</v>
      </c>
      <c r="J12" s="4">
        <f t="shared" si="1"/>
        <v>34.12358581455333</v>
      </c>
      <c r="K12" s="4">
        <f>J12*Assumptions!$B$9</f>
        <v>12.045625792537324</v>
      </c>
      <c r="L12" s="4">
        <f>J12*Assumptions!$B$10</f>
        <v>1.7607770280309518</v>
      </c>
      <c r="M12" s="4">
        <f>J12*Assumptions!$B$21</f>
        <v>5.4222377859325244</v>
      </c>
    </row>
    <row r="13" spans="1:13" ht="15" customHeight="1" x14ac:dyDescent="0.15">
      <c r="A13" t="s">
        <v>124</v>
      </c>
      <c r="B13" s="4">
        <f>'Table 6'!L13</f>
        <v>25.634175558679914</v>
      </c>
      <c r="C13" s="3">
        <f>Corpus!E13</f>
        <v>59.1</v>
      </c>
      <c r="D13" s="3">
        <f>Corpus!F13</f>
        <v>6.9</v>
      </c>
      <c r="E13" t="str">
        <f>Corpus!Q13</f>
        <v>xHigh</v>
      </c>
      <c r="F13" s="4">
        <f>IF(Corpus!R13="5x",Assumptions!$B$18,Assumptions!$B$20)</f>
        <v>1.82928</v>
      </c>
      <c r="G13" s="4">
        <f>Bootstrap!E13</f>
        <v>1.1161000000000001</v>
      </c>
      <c r="H13" s="4">
        <f>IF(Corpus!Q13="None",1,Bootstrap!L13)</f>
        <v>1.0230999999999999</v>
      </c>
      <c r="I13" s="4">
        <f t="shared" si="0"/>
        <v>2.0888217403247999</v>
      </c>
      <c r="J13" s="4">
        <f t="shared" si="1"/>
        <v>53.545223202273228</v>
      </c>
      <c r="K13" s="4">
        <f>J13*Assumptions!$B$9</f>
        <v>18.901463790402449</v>
      </c>
      <c r="L13" s="4">
        <f>J13*Assumptions!$B$10</f>
        <v>2.7629335172372986</v>
      </c>
      <c r="M13" s="4">
        <f>J13*Assumptions!$B$21</f>
        <v>8.5083359668412157</v>
      </c>
    </row>
    <row r="14" spans="1:13" ht="15" customHeight="1" x14ac:dyDescent="0.15">
      <c r="A14" t="s">
        <v>125</v>
      </c>
      <c r="B14" s="4">
        <f>'Table 6'!L14</f>
        <v>3.0195381370545404</v>
      </c>
      <c r="C14" s="3">
        <f>Corpus!E14</f>
        <v>156.6</v>
      </c>
      <c r="D14" s="3">
        <f>Corpus!F14</f>
        <v>18.7</v>
      </c>
      <c r="E14" t="str">
        <f>Corpus!Q14</f>
        <v>None</v>
      </c>
      <c r="F14" s="4">
        <f>IF(Corpus!R14="5x",Assumptions!$B$18,Assumptions!$B$20)</f>
        <v>1.82928</v>
      </c>
      <c r="G14" s="4">
        <f>Bootstrap!E14</f>
        <v>1.1140000000000001</v>
      </c>
      <c r="H14" s="4">
        <f>IF(Corpus!Q14="None",1,Bootstrap!L14)</f>
        <v>1</v>
      </c>
      <c r="I14" s="4">
        <f t="shared" si="0"/>
        <v>2.0378179200000002</v>
      </c>
      <c r="J14" s="4">
        <f t="shared" si="1"/>
        <v>6.1532689258131592</v>
      </c>
      <c r="K14" s="4">
        <f>J14*Assumptions!$B$9</f>
        <v>2.1721039308120451</v>
      </c>
      <c r="L14" s="4">
        <f>J14*Assumptions!$B$10</f>
        <v>0.31750867657195903</v>
      </c>
      <c r="M14" s="4">
        <f>J14*Assumptions!$B$21</f>
        <v>0.97775443231171111</v>
      </c>
    </row>
    <row r="15" spans="1:13" ht="15" customHeight="1" x14ac:dyDescent="0.15">
      <c r="A15" t="s">
        <v>127</v>
      </c>
      <c r="B15" s="4">
        <f>'Table 6'!L15</f>
        <v>4.9729329275168235</v>
      </c>
      <c r="C15" s="3">
        <f>Corpus!E15</f>
        <v>154.1</v>
      </c>
      <c r="D15" s="3">
        <f>Corpus!F15</f>
        <v>18.5</v>
      </c>
      <c r="E15" t="str">
        <f>Corpus!Q15</f>
        <v>Low</v>
      </c>
      <c r="F15" s="4">
        <f>IF(Corpus!R15="5x",Assumptions!$B$18,Assumptions!$B$20)</f>
        <v>1.82928</v>
      </c>
      <c r="G15" s="4">
        <f>Bootstrap!E15</f>
        <v>1.1292</v>
      </c>
      <c r="H15" s="4">
        <f>IF(Corpus!Q15="None",1,Bootstrap!L15)</f>
        <v>1.0186999999999999</v>
      </c>
      <c r="I15" s="4">
        <f t="shared" si="0"/>
        <v>2.1042501256511996</v>
      </c>
      <c r="J15" s="4">
        <f t="shared" si="1"/>
        <v>10.464294737582264</v>
      </c>
      <c r="K15" s="4">
        <f>J15*Assumptions!$B$9</f>
        <v>3.6938960423665392</v>
      </c>
      <c r="L15" s="4">
        <f>J15*Assumptions!$B$10</f>
        <v>0.53995760845924479</v>
      </c>
      <c r="M15" s="4">
        <f>J15*Assumptions!$B$21</f>
        <v>1.6627764338018221</v>
      </c>
    </row>
    <row r="16" spans="1:13" ht="15" customHeight="1" x14ac:dyDescent="0.15">
      <c r="A16" t="s">
        <v>128</v>
      </c>
      <c r="B16" s="4">
        <f>'Table 6'!L16</f>
        <v>5.5462992637500008</v>
      </c>
      <c r="C16" s="3">
        <f>Corpus!E16</f>
        <v>152.30000000000001</v>
      </c>
      <c r="D16" s="3">
        <f>Corpus!F16</f>
        <v>22.1</v>
      </c>
      <c r="E16" t="str">
        <f>Corpus!Q16</f>
        <v>Medium</v>
      </c>
      <c r="F16" s="4">
        <f>IF(Corpus!R16="5x",Assumptions!$B$18,Assumptions!$B$20)</f>
        <v>1.82928</v>
      </c>
      <c r="G16" s="4">
        <f>Bootstrap!E16</f>
        <v>1.1093999999999999</v>
      </c>
      <c r="H16" s="4">
        <f>IF(Corpus!Q16="None",1,Bootstrap!L16)</f>
        <v>1.0170999999999999</v>
      </c>
      <c r="I16" s="4">
        <f t="shared" si="0"/>
        <v>2.0641060272671998</v>
      </c>
      <c r="J16" s="4">
        <f t="shared" si="1"/>
        <v>11.44814973933401</v>
      </c>
      <c r="K16" s="4">
        <f>J16*Assumptions!$B$9</f>
        <v>4.0411968579849056</v>
      </c>
      <c r="L16" s="4">
        <f>J16*Assumptions!$B$10</f>
        <v>0.59072452654963492</v>
      </c>
      <c r="M16" s="4">
        <f>J16*Assumptions!$B$21</f>
        <v>1.8191109935801744</v>
      </c>
    </row>
    <row r="17" spans="1:13" ht="15" customHeight="1" x14ac:dyDescent="0.15">
      <c r="A17" t="s">
        <v>129</v>
      </c>
      <c r="B17" s="4">
        <f>'Table 6'!L17</f>
        <v>5.914870035911604</v>
      </c>
      <c r="C17" s="3">
        <f>Corpus!E17</f>
        <v>155.19999999999999</v>
      </c>
      <c r="D17" s="3">
        <f>Corpus!F17</f>
        <v>19.5</v>
      </c>
      <c r="E17" t="str">
        <f>Corpus!Q17</f>
        <v>High</v>
      </c>
      <c r="F17" s="4">
        <f>IF(Corpus!R17="5x",Assumptions!$B$18,Assumptions!$B$20)</f>
        <v>1.82928</v>
      </c>
      <c r="G17" s="4">
        <f>Bootstrap!E17</f>
        <v>1.1087</v>
      </c>
      <c r="H17" s="4">
        <f>IF(Corpus!Q17="None",1,Bootstrap!L17)</f>
        <v>1.0241</v>
      </c>
      <c r="I17" s="4">
        <f t="shared" si="0"/>
        <v>2.0770004939376001</v>
      </c>
      <c r="J17" s="4">
        <f t="shared" si="1"/>
        <v>12.285187986165113</v>
      </c>
      <c r="K17" s="4">
        <f>J17*Assumptions!$B$9</f>
        <v>4.3366713591162842</v>
      </c>
      <c r="L17" s="4">
        <f>J17*Assumptions!$B$10</f>
        <v>0.63391570008611986</v>
      </c>
      <c r="M17" s="4">
        <f>J17*Assumptions!$B$21</f>
        <v>1.9521163710016365</v>
      </c>
    </row>
    <row r="18" spans="1:13" ht="15" customHeight="1" x14ac:dyDescent="0.15">
      <c r="A18" t="s">
        <v>130</v>
      </c>
      <c r="B18" s="4">
        <f>'Table 6'!L18</f>
        <v>11.33223645494591</v>
      </c>
      <c r="C18" s="3">
        <f>Corpus!E18</f>
        <v>153.69999999999999</v>
      </c>
      <c r="D18" s="3">
        <f>Corpus!F18</f>
        <v>19.8</v>
      </c>
      <c r="E18" t="str">
        <f>Corpus!Q18</f>
        <v>xHigh</v>
      </c>
      <c r="F18" s="4">
        <f>IF(Corpus!R18="5x",Assumptions!$B$18,Assumptions!$B$20)</f>
        <v>1.82928</v>
      </c>
      <c r="G18" s="4">
        <f>Bootstrap!E18</f>
        <v>1.1415999999999999</v>
      </c>
      <c r="H18" s="4">
        <f>IF(Corpus!Q18="None",1,Bootstrap!L18)</f>
        <v>1.0228999999999999</v>
      </c>
      <c r="I18" s="4">
        <f t="shared" si="0"/>
        <v>2.1361282564991995</v>
      </c>
      <c r="J18" s="4">
        <f t="shared" si="1"/>
        <v>24.207110500740278</v>
      </c>
      <c r="K18" s="4">
        <f>J18*Assumptions!$B$9</f>
        <v>8.5451100067613179</v>
      </c>
      <c r="L18" s="4">
        <f>J18*Assumptions!$B$10</f>
        <v>1.2490869018381983</v>
      </c>
      <c r="M18" s="4">
        <f>J18*Assumptions!$B$21</f>
        <v>3.8465098585676305</v>
      </c>
    </row>
    <row r="19" spans="1:13" ht="15" customHeight="1" x14ac:dyDescent="0.15">
      <c r="A19" t="s">
        <v>131</v>
      </c>
      <c r="B19" s="4">
        <f>'Table 6'!L19</f>
        <v>3.2514908293789975</v>
      </c>
      <c r="C19" s="3">
        <f>Corpus!E19</f>
        <v>140.5</v>
      </c>
      <c r="D19" s="3">
        <f>Corpus!F19</f>
        <v>18.100000000000001</v>
      </c>
      <c r="E19" t="str">
        <f>Corpus!Q19</f>
        <v>None</v>
      </c>
      <c r="F19" s="4">
        <f>IF(Corpus!R19="5x",Assumptions!$B$18,Assumptions!$B$20)</f>
        <v>1.82928</v>
      </c>
      <c r="G19" s="4">
        <f>Bootstrap!E19</f>
        <v>1.1107</v>
      </c>
      <c r="H19" s="4">
        <f>IF(Corpus!Q19="None",1,Bootstrap!L19)</f>
        <v>1</v>
      </c>
      <c r="I19" s="4">
        <f t="shared" si="0"/>
        <v>2.0317812960000001</v>
      </c>
      <c r="J19" s="4">
        <f t="shared" si="1"/>
        <v>6.6063182512477745</v>
      </c>
      <c r="K19" s="4">
        <f>J19*Assumptions!$B$9</f>
        <v>2.3320303426904641</v>
      </c>
      <c r="L19" s="4">
        <f>J19*Assumptions!$B$10</f>
        <v>0.34088602176438515</v>
      </c>
      <c r="M19" s="4">
        <f>J19*Assumptions!$B$21</f>
        <v>1.0497439701232714</v>
      </c>
    </row>
    <row r="20" spans="1:13" ht="15" customHeight="1" x14ac:dyDescent="0.15">
      <c r="A20" t="s">
        <v>133</v>
      </c>
      <c r="B20" s="4">
        <f>'Table 6'!L20</f>
        <v>4.9107830738603591</v>
      </c>
      <c r="C20" s="3">
        <f>Corpus!E20</f>
        <v>137.19999999999999</v>
      </c>
      <c r="D20" s="3">
        <f>Corpus!F20</f>
        <v>14.3</v>
      </c>
      <c r="E20" t="str">
        <f>Corpus!Q20</f>
        <v>Low</v>
      </c>
      <c r="F20" s="4">
        <f>IF(Corpus!R20="5x",Assumptions!$B$18,Assumptions!$B$20)</f>
        <v>1.82928</v>
      </c>
      <c r="G20" s="4">
        <f>Bootstrap!E20</f>
        <v>1.111</v>
      </c>
      <c r="H20" s="4">
        <f>IF(Corpus!Q20="None",1,Bootstrap!L20)</f>
        <v>1.0185</v>
      </c>
      <c r="I20" s="4">
        <f t="shared" si="0"/>
        <v>2.0699281864799999</v>
      </c>
      <c r="J20" s="4">
        <f t="shared" si="1"/>
        <v>10.164968302272452</v>
      </c>
      <c r="K20" s="4">
        <f>J20*Assumptions!$B$9</f>
        <v>3.5882338107021754</v>
      </c>
      <c r="L20" s="4">
        <f>J20*Assumptions!$B$10</f>
        <v>0.52451236439725857</v>
      </c>
      <c r="M20" s="4">
        <f>J20*Assumptions!$B$21</f>
        <v>1.6152134632310928</v>
      </c>
    </row>
    <row r="21" spans="1:13" ht="15.75" customHeight="1" x14ac:dyDescent="0.15">
      <c r="A21" t="s">
        <v>134</v>
      </c>
      <c r="B21" s="4">
        <f>'Table 6'!L21</f>
        <v>5.6145545054753612</v>
      </c>
      <c r="C21" s="3">
        <f>Corpus!E21</f>
        <v>136.69999999999999</v>
      </c>
      <c r="D21" s="3">
        <f>Corpus!F21</f>
        <v>15.2</v>
      </c>
      <c r="E21" t="str">
        <f>Corpus!Q21</f>
        <v>Medium</v>
      </c>
      <c r="F21" s="4">
        <f>IF(Corpus!R21="5x",Assumptions!$B$18,Assumptions!$B$20)</f>
        <v>1.82928</v>
      </c>
      <c r="G21" s="4">
        <f>Bootstrap!E21</f>
        <v>1.1104000000000001</v>
      </c>
      <c r="H21" s="4">
        <f>IF(Corpus!Q21="None",1,Bootstrap!L21)</f>
        <v>1.0956999999999999</v>
      </c>
      <c r="I21" s="4">
        <f t="shared" si="0"/>
        <v>2.2256214633983999</v>
      </c>
      <c r="J21" s="4">
        <f t="shared" si="1"/>
        <v>12.495873014806152</v>
      </c>
      <c r="K21" s="4">
        <f>J21*Assumptions!$B$9</f>
        <v>4.4110431742265712</v>
      </c>
      <c r="L21" s="4">
        <f>J21*Assumptions!$B$10</f>
        <v>0.64478704756399741</v>
      </c>
      <c r="M21" s="4">
        <f>J21*Assumptions!$B$21</f>
        <v>1.9855942220526979</v>
      </c>
    </row>
    <row r="22" spans="1:13" ht="15.75" customHeight="1" x14ac:dyDescent="0.15">
      <c r="A22" t="s">
        <v>135</v>
      </c>
      <c r="B22" s="4">
        <f>'Table 6'!L22</f>
        <v>9.6577699646567474</v>
      </c>
      <c r="C22" s="3">
        <f>Corpus!E22</f>
        <v>140.4</v>
      </c>
      <c r="D22" s="3">
        <f>Corpus!F22</f>
        <v>13.5</v>
      </c>
      <c r="E22" t="str">
        <f>Corpus!Q22</f>
        <v>High</v>
      </c>
      <c r="F22" s="4">
        <f>IF(Corpus!R22="5x",Assumptions!$B$18,Assumptions!$B$20)</f>
        <v>1.82928</v>
      </c>
      <c r="G22" s="4">
        <f>Bootstrap!E22</f>
        <v>1.1045</v>
      </c>
      <c r="H22" s="4">
        <f>IF(Corpus!Q22="None",1,Bootstrap!L22)</f>
        <v>1.0404</v>
      </c>
      <c r="I22" s="4">
        <f t="shared" si="0"/>
        <v>2.102065526304</v>
      </c>
      <c r="J22" s="4">
        <f t="shared" si="1"/>
        <v>20.301265303679148</v>
      </c>
      <c r="K22" s="4">
        <f>J22*Assumptions!$B$9</f>
        <v>7.1663466521987393</v>
      </c>
      <c r="L22" s="4">
        <f>J22*Assumptions!$B$10</f>
        <v>1.0475452896698441</v>
      </c>
      <c r="M22" s="4">
        <f>J22*Assumptions!$B$21</f>
        <v>3.2258710567546172</v>
      </c>
    </row>
    <row r="23" spans="1:13" ht="15.75" customHeight="1" x14ac:dyDescent="0.15">
      <c r="A23" t="s">
        <v>136</v>
      </c>
      <c r="B23" s="4">
        <f>'Table 6'!L23</f>
        <v>40.508046549149405</v>
      </c>
      <c r="C23" s="3">
        <f>Corpus!E23</f>
        <v>139.19999999999999</v>
      </c>
      <c r="D23" s="3">
        <f>Corpus!F23</f>
        <v>24.5</v>
      </c>
      <c r="E23" t="str">
        <f>Corpus!Q23</f>
        <v>xHigh</v>
      </c>
      <c r="F23" s="4">
        <f>IF(Corpus!R23="5x",Assumptions!$B$18,Assumptions!$B$20)</f>
        <v>1.82928</v>
      </c>
      <c r="G23" s="4">
        <f>Bootstrap!E23</f>
        <v>1.1887000000000001</v>
      </c>
      <c r="H23" s="4">
        <f>IF(Corpus!Q23="None",1,Bootstrap!L23)</f>
        <v>1.2568999999999999</v>
      </c>
      <c r="I23" s="4">
        <f t="shared" si="0"/>
        <v>2.7330852294384003</v>
      </c>
      <c r="J23" s="4">
        <f t="shared" si="1"/>
        <v>110.7119436968834</v>
      </c>
      <c r="K23" s="4">
        <f>J23*Assumptions!$B$9</f>
        <v>39.081316124999837</v>
      </c>
      <c r="L23" s="4">
        <f>J23*Assumptions!$B$10</f>
        <v>5.7127362947591829</v>
      </c>
      <c r="M23" s="4">
        <f>J23*Assumptions!$B$21</f>
        <v>17.592127853434771</v>
      </c>
    </row>
    <row r="24" spans="1:13" ht="15.75" customHeight="1" x14ac:dyDescent="0.15">
      <c r="A24" t="s">
        <v>137</v>
      </c>
      <c r="B24" s="4">
        <f>'Table 6'!L24</f>
        <v>5.5015043227833376</v>
      </c>
      <c r="C24" s="3">
        <f>Corpus!E24</f>
        <v>86</v>
      </c>
      <c r="D24" s="3">
        <f>Corpus!F24</f>
        <v>12.7</v>
      </c>
      <c r="E24" t="str">
        <f>Corpus!Q24</f>
        <v>None</v>
      </c>
      <c r="F24" s="4">
        <f>IF(Corpus!R24="5x",Assumptions!$B$18,Assumptions!$B$20)</f>
        <v>1.82928</v>
      </c>
      <c r="G24" s="4">
        <f>Bootstrap!E24</f>
        <v>1.1286</v>
      </c>
      <c r="H24" s="4">
        <f>IF(Corpus!Q24="None",1,Bootstrap!L24)</f>
        <v>1</v>
      </c>
      <c r="I24" s="4">
        <f t="shared" si="0"/>
        <v>2.0645254080000002</v>
      </c>
      <c r="J24" s="4">
        <f t="shared" si="1"/>
        <v>11.357995456608034</v>
      </c>
      <c r="K24" s="4">
        <f>J24*Assumptions!$B$9</f>
        <v>4.009372396182636</v>
      </c>
      <c r="L24" s="4">
        <f>J24*Assumptions!$B$10</f>
        <v>0.58607256556097453</v>
      </c>
      <c r="M24" s="4">
        <f>J24*Assumptions!$B$21</f>
        <v>1.8047854780550168</v>
      </c>
    </row>
    <row r="25" spans="1:13" ht="15.75" customHeight="1" x14ac:dyDescent="0.15">
      <c r="A25" t="s">
        <v>139</v>
      </c>
      <c r="B25" s="4">
        <f>'Table 6'!L25</f>
        <v>6.9643102021276606</v>
      </c>
      <c r="C25" s="3">
        <f>Corpus!E25</f>
        <v>92.1</v>
      </c>
      <c r="D25" s="3">
        <f>Corpus!F25</f>
        <v>16.3</v>
      </c>
      <c r="E25" t="str">
        <f>Corpus!Q25</f>
        <v>Low</v>
      </c>
      <c r="F25" s="4">
        <f>IF(Corpus!R25="5x",Assumptions!$B$18,Assumptions!$B$20)</f>
        <v>1.82928</v>
      </c>
      <c r="G25" s="4">
        <f>Bootstrap!E25</f>
        <v>1.1064000000000001</v>
      </c>
      <c r="H25" s="4">
        <f>IF(Corpus!Q25="None",1,Bootstrap!L25)</f>
        <v>1.0137</v>
      </c>
      <c r="I25" s="4">
        <f t="shared" si="0"/>
        <v>2.0516430328704001</v>
      </c>
      <c r="J25" s="4">
        <f t="shared" si="1"/>
        <v>14.288278504943463</v>
      </c>
      <c r="K25" s="4">
        <f>J25*Assumptions!$B$9</f>
        <v>5.0437623122450423</v>
      </c>
      <c r="L25" s="4">
        <f>J25*Assumptions!$B$10</f>
        <v>0.73727517085508265</v>
      </c>
      <c r="M25" s="4">
        <f>J25*Assumptions!$B$21</f>
        <v>2.2704074544355164</v>
      </c>
    </row>
    <row r="26" spans="1:13" ht="15.75" customHeight="1" x14ac:dyDescent="0.15">
      <c r="A26" t="s">
        <v>140</v>
      </c>
      <c r="B26" s="4">
        <f>'Table 6'!L26</f>
        <v>8.7787664999999997</v>
      </c>
      <c r="C26" s="3">
        <f>Corpus!E26</f>
        <v>93</v>
      </c>
      <c r="D26" s="3">
        <f>Corpus!F26</f>
        <v>10.7</v>
      </c>
      <c r="E26" t="str">
        <f>Corpus!Q26</f>
        <v>Medium</v>
      </c>
      <c r="F26" s="4">
        <f>IF(Corpus!R26="5x",Assumptions!$B$18,Assumptions!$B$20)</f>
        <v>1.82928</v>
      </c>
      <c r="G26" s="4">
        <f>Bootstrap!E26</f>
        <v>1.1056999999999999</v>
      </c>
      <c r="H26" s="4">
        <f>IF(Corpus!Q26="None",1,Bootstrap!L26)</f>
        <v>1.0297000000000001</v>
      </c>
      <c r="I26" s="4">
        <f t="shared" si="0"/>
        <v>2.0827071524112002</v>
      </c>
      <c r="J26" s="4">
        <f t="shared" si="1"/>
        <v>18.283599778897837</v>
      </c>
      <c r="K26" s="4">
        <f>J26*Assumptions!$B$9</f>
        <v>6.4541107219509364</v>
      </c>
      <c r="L26" s="4">
        <f>J26*Assumptions!$B$10</f>
        <v>0.94343374859112838</v>
      </c>
      <c r="M26" s="4">
        <f>J26*Assumptions!$B$21</f>
        <v>2.9052640048668668</v>
      </c>
    </row>
    <row r="27" spans="1:13" ht="15.75" customHeight="1" x14ac:dyDescent="0.15">
      <c r="A27" t="s">
        <v>141</v>
      </c>
      <c r="B27" s="4">
        <f>'Table 6'!L27</f>
        <v>11.297473870967744</v>
      </c>
      <c r="C27" s="3">
        <f>Corpus!E27</f>
        <v>93.4</v>
      </c>
      <c r="D27" s="3">
        <f>Corpus!F27</f>
        <v>11.3</v>
      </c>
      <c r="E27" t="str">
        <f>Corpus!Q27</f>
        <v>High</v>
      </c>
      <c r="F27" s="4">
        <f>IF(Corpus!R27="5x",Assumptions!$B$18,Assumptions!$B$20)</f>
        <v>1.82928</v>
      </c>
      <c r="G27" s="4">
        <f>Bootstrap!E27</f>
        <v>1.1001000000000001</v>
      </c>
      <c r="H27" s="4">
        <f>IF(Corpus!Q27="None",1,Bootstrap!L27)</f>
        <v>1.0693999999999999</v>
      </c>
      <c r="I27" s="4">
        <f t="shared" si="0"/>
        <v>2.1520508584032001</v>
      </c>
      <c r="J27" s="4">
        <f t="shared" si="1"/>
        <v>24.312738341803858</v>
      </c>
      <c r="K27" s="4">
        <f>J27*Assumptions!$B$9</f>
        <v>8.5823966346567619</v>
      </c>
      <c r="L27" s="4">
        <f>J27*Assumptions!$B$10</f>
        <v>1.2545372984370791</v>
      </c>
      <c r="M27" s="4">
        <f>J27*Assumptions!$B$21</f>
        <v>3.8632941225126332</v>
      </c>
    </row>
    <row r="28" spans="1:13" ht="15.75" customHeight="1" x14ac:dyDescent="0.15">
      <c r="A28" t="s">
        <v>142</v>
      </c>
      <c r="B28" s="4">
        <f>'Table 6'!L28</f>
        <v>19.327335067622954</v>
      </c>
      <c r="C28" s="3">
        <f>Corpus!E28</f>
        <v>95.6</v>
      </c>
      <c r="D28" s="3">
        <f>Corpus!F28</f>
        <v>10.1</v>
      </c>
      <c r="E28" t="str">
        <f>Corpus!Q28</f>
        <v>xHigh</v>
      </c>
      <c r="F28" s="4">
        <f>IF(Corpus!R28="5x",Assumptions!$B$18,Assumptions!$B$20)</f>
        <v>1.82928</v>
      </c>
      <c r="G28" s="4">
        <f>Bootstrap!E28</f>
        <v>1.1253</v>
      </c>
      <c r="H28" s="4">
        <f>IF(Corpus!Q28="None",1,Bootstrap!L28)</f>
        <v>1.0914999999999999</v>
      </c>
      <c r="I28" s="4">
        <f t="shared" si="0"/>
        <v>2.2468405077360001</v>
      </c>
      <c r="J28" s="4">
        <f t="shared" si="1"/>
        <v>43.425439336521755</v>
      </c>
      <c r="K28" s="4">
        <f>J28*Assumptions!$B$9</f>
        <v>15.32918008579218</v>
      </c>
      <c r="L28" s="4">
        <f>J28*Assumptions!$B$10</f>
        <v>2.2407526697645226</v>
      </c>
      <c r="M28" s="4">
        <f>J28*Assumptions!$B$21</f>
        <v>6.9003023105733075</v>
      </c>
    </row>
    <row r="29" spans="1:13" ht="15.75" customHeight="1" x14ac:dyDescent="0.15">
      <c r="A29" t="s">
        <v>143</v>
      </c>
      <c r="B29" s="4">
        <f>'Table 6'!L29</f>
        <v>13.501783088927857</v>
      </c>
      <c r="C29" s="3">
        <f>Corpus!E29</f>
        <v>60.9</v>
      </c>
      <c r="D29" s="3">
        <f>Corpus!F29</f>
        <v>9.1999999999999993</v>
      </c>
      <c r="E29" t="str">
        <f>Corpus!Q29</f>
        <v>Minimal (measured)</v>
      </c>
      <c r="F29" s="4">
        <f>IF(Corpus!R29="5x",Assumptions!$B$18,Assumptions!$B$20)</f>
        <v>1.82928</v>
      </c>
      <c r="G29" s="4">
        <f>Bootstrap!E29</f>
        <v>1.1136999999999999</v>
      </c>
      <c r="H29" s="4">
        <f>IF(Corpus!Q29="None",1,Bootstrap!L29)</f>
        <v>1.1034999999999999</v>
      </c>
      <c r="I29" s="4">
        <f t="shared" si="0"/>
        <v>2.248126491576</v>
      </c>
      <c r="J29" s="4">
        <f t="shared" si="1"/>
        <v>30.353716245731551</v>
      </c>
      <c r="K29" s="4">
        <f>J29*Assumptions!$B$9</f>
        <v>10.714861834743237</v>
      </c>
      <c r="L29" s="4">
        <f>J29*Assumptions!$B$10</f>
        <v>1.5662517582797479</v>
      </c>
      <c r="M29" s="4">
        <f>J29*Assumptions!$B$21</f>
        <v>4.8232055114467443</v>
      </c>
    </row>
    <row r="30" spans="1:13" ht="15.75" customHeight="1" x14ac:dyDescent="0.15">
      <c r="A30" t="s">
        <v>145</v>
      </c>
      <c r="B30" s="4">
        <f>'Table 6'!L30</f>
        <v>11.169093486070381</v>
      </c>
      <c r="C30" s="3">
        <f>Corpus!E30</f>
        <v>61.2</v>
      </c>
      <c r="D30" s="3">
        <f>Corpus!F30</f>
        <v>8.6</v>
      </c>
      <c r="E30" t="str">
        <f>Corpus!Q30</f>
        <v>Low</v>
      </c>
      <c r="F30" s="4">
        <f>IF(Corpus!R30="5x",Assumptions!$B$18,Assumptions!$B$20)</f>
        <v>1.82928</v>
      </c>
      <c r="G30" s="4">
        <f>Bootstrap!E30</f>
        <v>1.1174999999999999</v>
      </c>
      <c r="H30" s="4">
        <f>IF(Corpus!Q30="None",1,Bootstrap!L30)</f>
        <v>1.0135000000000001</v>
      </c>
      <c r="I30" s="4">
        <f t="shared" si="0"/>
        <v>2.0718173754000002</v>
      </c>
      <c r="J30" s="4">
        <f t="shared" si="1"/>
        <v>23.140321951907573</v>
      </c>
      <c r="K30" s="4">
        <f>J30*Assumptions!$B$9</f>
        <v>8.1685336490233738</v>
      </c>
      <c r="L30" s="4">
        <f>J30*Assumptions!$B$10</f>
        <v>1.1940406127184309</v>
      </c>
      <c r="M30" s="4">
        <f>J30*Assumptions!$B$21</f>
        <v>3.6769971581581138</v>
      </c>
    </row>
    <row r="31" spans="1:13" ht="15.75" customHeight="1" x14ac:dyDescent="0.15">
      <c r="A31" t="s">
        <v>146</v>
      </c>
      <c r="B31" s="4">
        <f>'Table 6'!L31</f>
        <v>13.122528916652982</v>
      </c>
      <c r="C31" s="3">
        <f>Corpus!E31</f>
        <v>61.4</v>
      </c>
      <c r="D31" s="3">
        <f>Corpus!F31</f>
        <v>9.1</v>
      </c>
      <c r="E31" t="str">
        <f>Corpus!Q31</f>
        <v>Medium</v>
      </c>
      <c r="F31" s="4">
        <f>IF(Corpus!R31="5x",Assumptions!$B$18,Assumptions!$B$20)</f>
        <v>1.82928</v>
      </c>
      <c r="G31" s="4">
        <f>Bootstrap!E31</f>
        <v>1.1052</v>
      </c>
      <c r="H31" s="4">
        <f>IF(Corpus!Q31="None",1,Bootstrap!L31)</f>
        <v>1.1574</v>
      </c>
      <c r="I31" s="4">
        <f t="shared" si="0"/>
        <v>2.3399390242944</v>
      </c>
      <c r="J31" s="4">
        <f t="shared" si="1"/>
        <v>30.70591750950803</v>
      </c>
      <c r="K31" s="4">
        <f>J31*Assumptions!$B$9</f>
        <v>10.839188880856334</v>
      </c>
      <c r="L31" s="4">
        <f>J31*Assumptions!$B$10</f>
        <v>1.5844253434906144</v>
      </c>
      <c r="M31" s="4">
        <f>J31*Assumptions!$B$21</f>
        <v>4.8791702922608264</v>
      </c>
    </row>
    <row r="32" spans="1:13" ht="15.75" customHeight="1" x14ac:dyDescent="0.15">
      <c r="A32" t="s">
        <v>147</v>
      </c>
      <c r="B32" s="4">
        <f>'Table 6'!L32</f>
        <v>18.619052278546715</v>
      </c>
      <c r="C32" s="3">
        <f>Corpus!E32</f>
        <v>61.5</v>
      </c>
      <c r="D32" s="3">
        <f>Corpus!F32</f>
        <v>9</v>
      </c>
      <c r="E32" t="str">
        <f>Corpus!Q32</f>
        <v>High</v>
      </c>
      <c r="F32" s="4">
        <f>IF(Corpus!R32="5x",Assumptions!$B$18,Assumptions!$B$20)</f>
        <v>1.82928</v>
      </c>
      <c r="G32" s="4">
        <f>Bootstrap!E32</f>
        <v>1.1104000000000001</v>
      </c>
      <c r="H32" s="4">
        <f>IF(Corpus!Q32="None",1,Bootstrap!L32)</f>
        <v>1.0128999999999999</v>
      </c>
      <c r="I32" s="4">
        <f t="shared" si="0"/>
        <v>2.0574354114048004</v>
      </c>
      <c r="J32" s="4">
        <f t="shared" si="1"/>
        <v>38.307497484679246</v>
      </c>
      <c r="K32" s="4">
        <f>J32*Assumptions!$B$9</f>
        <v>13.522546612091773</v>
      </c>
      <c r="L32" s="4">
        <f>J32*Assumptions!$B$10</f>
        <v>1.976666870209449</v>
      </c>
      <c r="M32" s="4">
        <f>J32*Assumptions!$B$21</f>
        <v>6.0870613503155324</v>
      </c>
    </row>
    <row r="33" spans="1:13" ht="15.75" customHeight="1" x14ac:dyDescent="0.15">
      <c r="A33" t="s">
        <v>148</v>
      </c>
      <c r="B33" s="4">
        <f>'Table 6'!L33</f>
        <v>19.413891378567854</v>
      </c>
      <c r="C33" s="3">
        <f>Corpus!E33</f>
        <v>61.4</v>
      </c>
      <c r="D33" s="3">
        <f>Corpus!F33</f>
        <v>9.9</v>
      </c>
      <c r="E33" t="str">
        <f>Corpus!Q33</f>
        <v>xHigh</v>
      </c>
      <c r="F33" s="4">
        <f>IF(Corpus!R33="5x",Assumptions!$B$18,Assumptions!$B$20)</f>
        <v>1.82928</v>
      </c>
      <c r="G33" s="4">
        <f>Bootstrap!E33</f>
        <v>1.1056999999999999</v>
      </c>
      <c r="H33" s="4">
        <f>IF(Corpus!Q33="None",1,Bootstrap!L33)</f>
        <v>1.1021000000000001</v>
      </c>
      <c r="I33" s="4">
        <f t="shared" si="0"/>
        <v>2.2291459188816001</v>
      </c>
      <c r="J33" s="4">
        <f t="shared" si="1"/>
        <v>43.276396736145216</v>
      </c>
      <c r="K33" s="4">
        <f>J33*Assumptions!$B$9</f>
        <v>15.276568047859261</v>
      </c>
      <c r="L33" s="4">
        <f>J33*Assumptions!$B$10</f>
        <v>2.2330620715850933</v>
      </c>
      <c r="M33" s="4">
        <f>J33*Assumptions!$B$21</f>
        <v>6.8766194413734754</v>
      </c>
    </row>
    <row r="34" spans="1:13" ht="15.75" customHeight="1" x14ac:dyDescent="0.15">
      <c r="A34" t="s">
        <v>149</v>
      </c>
      <c r="B34" s="4">
        <f>'Table 6'!L34</f>
        <v>5.8235477321016171</v>
      </c>
      <c r="C34" s="3">
        <f>Corpus!E34</f>
        <v>127.8</v>
      </c>
      <c r="D34" s="3">
        <f>Corpus!F34</f>
        <v>19.899999999999999</v>
      </c>
      <c r="E34" t="str">
        <f>Corpus!Q34</f>
        <v>Minimal (measured)</v>
      </c>
      <c r="F34" s="4">
        <f>IF(Corpus!R34="5x",Assumptions!$B$18,Assumptions!$B$20)</f>
        <v>1.82928</v>
      </c>
      <c r="G34" s="4">
        <f>Bootstrap!E34</f>
        <v>1.1126</v>
      </c>
      <c r="H34" s="4">
        <f>IF(Corpus!Q34="None",1,Bootstrap!L34)</f>
        <v>1.0228999999999999</v>
      </c>
      <c r="I34" s="4">
        <f t="shared" si="0"/>
        <v>2.0818643116511999</v>
      </c>
      <c r="J34" s="4">
        <f t="shared" si="1"/>
        <v>12.12383619065964</v>
      </c>
      <c r="K34" s="4">
        <f>J34*Assumptions!$B$9</f>
        <v>4.2797141753028525</v>
      </c>
      <c r="L34" s="4">
        <f>J34*Assumptions!$B$10</f>
        <v>0.62558994743803742</v>
      </c>
      <c r="M34" s="4">
        <f>J34*Assumptions!$B$21</f>
        <v>1.926477570695817</v>
      </c>
    </row>
    <row r="35" spans="1:13" ht="15.75" customHeight="1" x14ac:dyDescent="0.15">
      <c r="A35" t="s">
        <v>150</v>
      </c>
      <c r="B35" s="4">
        <f>'Table 6'!L35</f>
        <v>5.1278192836177476</v>
      </c>
      <c r="C35" s="3">
        <f>Corpus!E35</f>
        <v>130</v>
      </c>
      <c r="D35" s="3">
        <f>Corpus!F35</f>
        <v>21.1</v>
      </c>
      <c r="E35" t="str">
        <f>Corpus!Q35</f>
        <v>Low</v>
      </c>
      <c r="F35" s="4">
        <f>IF(Corpus!R35="5x",Assumptions!$B$18,Assumptions!$B$20)</f>
        <v>1.82928</v>
      </c>
      <c r="G35" s="4">
        <f>Bootstrap!E35</f>
        <v>1.1121000000000001</v>
      </c>
      <c r="H35" s="4">
        <f>IF(Corpus!Q35="None",1,Bootstrap!L35)</f>
        <v>1.0208999999999999</v>
      </c>
      <c r="I35" s="4">
        <f t="shared" si="0"/>
        <v>2.0768600418192</v>
      </c>
      <c r="J35" s="4">
        <f t="shared" si="1"/>
        <v>10.649762971815656</v>
      </c>
      <c r="K35" s="4">
        <f>J35*Assumptions!$B$9</f>
        <v>3.7593663290509265</v>
      </c>
      <c r="L35" s="4">
        <f>J35*Assumptions!$B$10</f>
        <v>0.54952776934568792</v>
      </c>
      <c r="M35" s="4">
        <f>J35*Assumptions!$B$21</f>
        <v>1.692247336221508</v>
      </c>
    </row>
    <row r="36" spans="1:13" ht="15.75" customHeight="1" x14ac:dyDescent="0.15">
      <c r="A36" t="s">
        <v>151</v>
      </c>
      <c r="B36" s="4">
        <f>'Table 6'!L36</f>
        <v>5.5371941647765182</v>
      </c>
      <c r="C36" s="3">
        <f>Corpus!E36</f>
        <v>135.1</v>
      </c>
      <c r="D36" s="3">
        <f>Corpus!F36</f>
        <v>29.1</v>
      </c>
      <c r="E36" t="str">
        <f>Corpus!Q36</f>
        <v>Medium</v>
      </c>
      <c r="F36" s="4">
        <f>IF(Corpus!R36="5x",Assumptions!$B$18,Assumptions!$B$20)</f>
        <v>1.82928</v>
      </c>
      <c r="G36" s="4">
        <f>Bootstrap!E36</f>
        <v>1.1027</v>
      </c>
      <c r="H36" s="4">
        <f>IF(Corpus!Q36="None",1,Bootstrap!L36)</f>
        <v>1.0184</v>
      </c>
      <c r="I36" s="4">
        <f t="shared" si="0"/>
        <v>2.0542625618304</v>
      </c>
      <c r="J36" s="4">
        <f t="shared" si="1"/>
        <v>11.374850670286152</v>
      </c>
      <c r="K36" s="4">
        <f>J36*Assumptions!$B$9</f>
        <v>4.0153222866110116</v>
      </c>
      <c r="L36" s="4">
        <f>J36*Assumptions!$B$10</f>
        <v>0.5869422945867655</v>
      </c>
      <c r="M36" s="4">
        <f>J36*Assumptions!$B$21</f>
        <v>1.8074637715084698</v>
      </c>
    </row>
    <row r="37" spans="1:13" ht="15.75" customHeight="1" x14ac:dyDescent="0.15">
      <c r="A37" t="s">
        <v>152</v>
      </c>
      <c r="B37" s="4">
        <f>'Table 6'!L37</f>
        <v>7.4585223193359393</v>
      </c>
      <c r="C37" s="3">
        <f>Corpus!E37</f>
        <v>131.4</v>
      </c>
      <c r="D37" s="3">
        <f>Corpus!F37</f>
        <v>17.8</v>
      </c>
      <c r="E37" t="str">
        <f>Corpus!Q37</f>
        <v>High</v>
      </c>
      <c r="F37" s="4">
        <f>IF(Corpus!R37="5x",Assumptions!$B$18,Assumptions!$B$20)</f>
        <v>1.82928</v>
      </c>
      <c r="G37" s="4">
        <f>Bootstrap!E37</f>
        <v>1.1213</v>
      </c>
      <c r="H37" s="4">
        <f>IF(Corpus!Q37="None",1,Bootstrap!L37)</f>
        <v>1.0726</v>
      </c>
      <c r="I37" s="4">
        <f t="shared" si="0"/>
        <v>2.2000867268064002</v>
      </c>
      <c r="J37" s="4">
        <f t="shared" si="1"/>
        <v>16.409395956360285</v>
      </c>
      <c r="K37" s="4">
        <f>J37*Assumptions!$B$9</f>
        <v>5.7925167725951807</v>
      </c>
      <c r="L37" s="4">
        <f>J37*Assumptions!$B$10</f>
        <v>0.84672483134819077</v>
      </c>
      <c r="M37" s="4">
        <f>J37*Assumptions!$B$21</f>
        <v>2.6074530174656494</v>
      </c>
    </row>
    <row r="38" spans="1:13" ht="15.75" customHeight="1" x14ac:dyDescent="0.15">
      <c r="A38" t="s">
        <v>153</v>
      </c>
      <c r="B38" s="4">
        <f>'Table 6'!L38</f>
        <v>9.3688336887096781</v>
      </c>
      <c r="C38" s="3">
        <f>Corpus!E38</f>
        <v>130.1</v>
      </c>
      <c r="D38" s="3">
        <f>Corpus!F38</f>
        <v>20.3</v>
      </c>
      <c r="E38" t="str">
        <f>Corpus!Q38</f>
        <v>xHigh</v>
      </c>
      <c r="F38" s="4">
        <f>IF(Corpus!R38="5x",Assumptions!$B$18,Assumptions!$B$20)</f>
        <v>1.82928</v>
      </c>
      <c r="G38" s="4">
        <f>Bootstrap!E38</f>
        <v>1.1299999999999999</v>
      </c>
      <c r="H38" s="4">
        <f>IF(Corpus!Q38="None",1,Bootstrap!L38)</f>
        <v>1.0339</v>
      </c>
      <c r="I38" s="4">
        <f t="shared" si="0"/>
        <v>2.1371606289600003</v>
      </c>
      <c r="J38" s="4">
        <f t="shared" si="1"/>
        <v>20.022702498784415</v>
      </c>
      <c r="K38" s="4">
        <f>J38*Assumptions!$B$9</f>
        <v>7.068013982070898</v>
      </c>
      <c r="L38" s="4">
        <f>J38*Assumptions!$B$10</f>
        <v>1.0331714489372759</v>
      </c>
      <c r="M38" s="4">
        <f>J38*Assumptions!$B$21</f>
        <v>3.1816074270568437</v>
      </c>
    </row>
    <row r="39" spans="1:13" ht="15.75" customHeight="1" x14ac:dyDescent="0.15">
      <c r="A39" t="s">
        <v>154</v>
      </c>
      <c r="B39" s="4">
        <f>'Table 6'!L39</f>
        <v>12.867718113022116</v>
      </c>
      <c r="C39" s="3">
        <f>Corpus!E39</f>
        <v>53.9</v>
      </c>
      <c r="D39" s="3">
        <f>Corpus!F39</f>
        <v>6.4</v>
      </c>
      <c r="E39" t="str">
        <f>Corpus!Q39</f>
        <v>Minimal (measured)</v>
      </c>
      <c r="F39" s="4">
        <f>IF(Corpus!R39="5x",Assumptions!$B$18,Assumptions!$B$20)</f>
        <v>1.82928</v>
      </c>
      <c r="G39" s="4">
        <f>Bootstrap!E39</f>
        <v>1.1057999999999999</v>
      </c>
      <c r="H39" s="4">
        <f>IF(Corpus!Q39="None",1,Bootstrap!L39)</f>
        <v>1.0104</v>
      </c>
      <c r="I39" s="4">
        <f t="shared" si="0"/>
        <v>2.0438551293695997</v>
      </c>
      <c r="J39" s="4">
        <f t="shared" si="1"/>
        <v>26.29975166858236</v>
      </c>
      <c r="K39" s="4">
        <f>J39*Assumptions!$B$9</f>
        <v>9.2838123390095717</v>
      </c>
      <c r="L39" s="4">
        <f>J39*Assumptions!$B$10</f>
        <v>1.3570671860988497</v>
      </c>
      <c r="M39" s="4">
        <f>J39*Assumptions!$B$21</f>
        <v>4.1790305401377372</v>
      </c>
    </row>
    <row r="40" spans="1:13" ht="15.75" customHeight="1" x14ac:dyDescent="0.15">
      <c r="A40" t="s">
        <v>155</v>
      </c>
      <c r="B40" s="4">
        <f>'Table 6'!L40</f>
        <v>12.003117842822478</v>
      </c>
      <c r="C40" s="3">
        <f>Corpus!E40</f>
        <v>53.2</v>
      </c>
      <c r="D40" s="3">
        <f>Corpus!F40</f>
        <v>8.1999999999999993</v>
      </c>
      <c r="E40" t="str">
        <f>Corpus!Q40</f>
        <v>Low</v>
      </c>
      <c r="F40" s="4">
        <f>IF(Corpus!R40="5x",Assumptions!$B$18,Assumptions!$B$20)</f>
        <v>1.82928</v>
      </c>
      <c r="G40" s="4">
        <f>Bootstrap!E40</f>
        <v>1.1204000000000001</v>
      </c>
      <c r="H40" s="4">
        <f>IF(Corpus!Q40="None",1,Bootstrap!L40)</f>
        <v>1.0124</v>
      </c>
      <c r="I40" s="4">
        <f t="shared" si="0"/>
        <v>2.0749394258687999</v>
      </c>
      <c r="J40" s="4">
        <f t="shared" si="1"/>
        <v>24.90574244542162</v>
      </c>
      <c r="K40" s="4">
        <f>J40*Assumptions!$B$9</f>
        <v>8.7917270832338321</v>
      </c>
      <c r="L40" s="4">
        <f>J40*Assumptions!$B$10</f>
        <v>1.2851363101837556</v>
      </c>
      <c r="M40" s="4">
        <f>J40*Assumptions!$B$21</f>
        <v>3.9575224745774955</v>
      </c>
    </row>
    <row r="41" spans="1:13" ht="15.75" customHeight="1" x14ac:dyDescent="0.15">
      <c r="A41" t="s">
        <v>156</v>
      </c>
      <c r="B41" s="4">
        <f>'Table 6'!L41</f>
        <v>12.957027289429531</v>
      </c>
      <c r="C41" s="3">
        <f>Corpus!E41</f>
        <v>54.4</v>
      </c>
      <c r="D41" s="3">
        <f>Corpus!F41</f>
        <v>6.5</v>
      </c>
      <c r="E41" t="str">
        <f>Corpus!Q41</f>
        <v>Medium</v>
      </c>
      <c r="F41" s="4">
        <f>IF(Corpus!R41="5x",Assumptions!$B$18,Assumptions!$B$20)</f>
        <v>1.82928</v>
      </c>
      <c r="G41" s="4">
        <f>Bootstrap!E41</f>
        <v>1.0989</v>
      </c>
      <c r="H41" s="4">
        <f>IF(Corpus!Q41="None",1,Bootstrap!L41)</f>
        <v>1.0123</v>
      </c>
      <c r="I41" s="4">
        <f t="shared" si="0"/>
        <v>2.0349212002415999</v>
      </c>
      <c r="J41" s="4">
        <f t="shared" si="1"/>
        <v>26.366529523369106</v>
      </c>
      <c r="K41" s="4">
        <f>J41*Assumptions!$B$9</f>
        <v>9.3073849217492945</v>
      </c>
      <c r="L41" s="4">
        <f>J41*Assumptions!$B$10</f>
        <v>1.360512923405846</v>
      </c>
      <c r="M41" s="4">
        <f>J41*Assumptions!$B$21</f>
        <v>4.1896415412633514</v>
      </c>
    </row>
    <row r="42" spans="1:13" ht="15.75" customHeight="1" x14ac:dyDescent="0.15">
      <c r="A42" t="s">
        <v>157</v>
      </c>
      <c r="B42" s="4">
        <f>'Table 6'!L42</f>
        <v>14.458154422151781</v>
      </c>
      <c r="C42" s="3">
        <f>Corpus!E42</f>
        <v>53.5</v>
      </c>
      <c r="D42" s="3">
        <f>Corpus!F42</f>
        <v>6.6</v>
      </c>
      <c r="E42" t="str">
        <f>Corpus!Q42</f>
        <v>High</v>
      </c>
      <c r="F42" s="4">
        <f>IF(Corpus!R42="5x",Assumptions!$B$18,Assumptions!$B$20)</f>
        <v>1.82928</v>
      </c>
      <c r="G42" s="4">
        <f>Bootstrap!E42</f>
        <v>1.1205000000000001</v>
      </c>
      <c r="H42" s="4">
        <f>IF(Corpus!Q42="None",1,Bootstrap!L42)</f>
        <v>1.0106999999999999</v>
      </c>
      <c r="I42" s="4">
        <f t="shared" si="0"/>
        <v>2.0716401181680002</v>
      </c>
      <c r="J42" s="4">
        <f t="shared" si="1"/>
        <v>29.952092735597709</v>
      </c>
      <c r="K42" s="4">
        <f>J42*Assumptions!$B$9</f>
        <v>10.573088735665991</v>
      </c>
      <c r="L42" s="4">
        <f>J42*Assumptions!$B$10</f>
        <v>1.5455279851568418</v>
      </c>
      <c r="M42" s="4">
        <f>J42*Assumptions!$B$21</f>
        <v>4.7593875356864768</v>
      </c>
    </row>
    <row r="43" spans="1:13" ht="15.75" customHeight="1" x14ac:dyDescent="0.15">
      <c r="A43" t="s">
        <v>158</v>
      </c>
      <c r="B43" s="4">
        <f>'Table 6'!L43</f>
        <v>16.356577208205035</v>
      </c>
      <c r="C43" s="3">
        <f>Corpus!E43</f>
        <v>54.7</v>
      </c>
      <c r="D43" s="3">
        <f>Corpus!F43</f>
        <v>8.5</v>
      </c>
      <c r="E43" t="str">
        <f>Corpus!Q43</f>
        <v>xHigh</v>
      </c>
      <c r="F43" s="4">
        <f>IF(Corpus!R43="5x",Assumptions!$B$18,Assumptions!$B$20)</f>
        <v>1.82928</v>
      </c>
      <c r="G43" s="4">
        <f>Bootstrap!E43</f>
        <v>1.1035999999999999</v>
      </c>
      <c r="H43" s="4">
        <f>IF(Corpus!Q43="None",1,Bootstrap!L43)</f>
        <v>1.0488999999999999</v>
      </c>
      <c r="I43" s="4">
        <f t="shared" si="0"/>
        <v>2.1175124056511998</v>
      </c>
      <c r="J43" s="4">
        <f t="shared" si="1"/>
        <v>34.635255152365829</v>
      </c>
      <c r="K43" s="4">
        <f>J43*Assumptions!$B$9</f>
        <v>12.226245068785136</v>
      </c>
      <c r="L43" s="4">
        <f>J43*Assumptions!$B$10</f>
        <v>1.7871791658620768</v>
      </c>
      <c r="M43" s="4">
        <f>J43*Assumptions!$B$21</f>
        <v>5.5035420437109304</v>
      </c>
    </row>
    <row r="44" spans="1:13" ht="15.75" customHeight="1" x14ac:dyDescent="0.15">
      <c r="A44" t="s">
        <v>159</v>
      </c>
      <c r="B44" s="4">
        <f>'Table 6'!L44</f>
        <v>16.356577208205035</v>
      </c>
      <c r="C44" s="3">
        <f>Corpus!E44</f>
        <v>54.7</v>
      </c>
      <c r="D44" s="3">
        <f>Corpus!F44</f>
        <v>8.5</v>
      </c>
      <c r="E44" t="str">
        <f>Corpus!Q44</f>
        <v>Max (floor)</v>
      </c>
      <c r="F44" s="4">
        <f>IF(Corpus!R44="5x",Assumptions!$B$18,Assumptions!$B$20)</f>
        <v>1.82928</v>
      </c>
      <c r="G44" s="4">
        <f>Bootstrap!E44</f>
        <v>1.1072</v>
      </c>
      <c r="H44" s="4">
        <f>IF(Corpus!Q44="None",1,Bootstrap!L44)</f>
        <v>1.0488999999999999</v>
      </c>
      <c r="I44" s="4">
        <f t="shared" si="0"/>
        <v>2.1244198401023997</v>
      </c>
      <c r="J44" s="4">
        <f t="shared" si="1"/>
        <v>34.748237137277499</v>
      </c>
      <c r="K44" s="4">
        <f>J44*Assumptions!$B$9</f>
        <v>12.266127709458956</v>
      </c>
      <c r="L44" s="4">
        <f>J44*Assumptions!$B$10</f>
        <v>1.7930090362835189</v>
      </c>
      <c r="M44" s="4">
        <f>J44*Assumptions!$B$21</f>
        <v>5.5214948811133953</v>
      </c>
    </row>
    <row r="45" spans="1:13" ht="15.75" customHeight="1" x14ac:dyDescent="0.15">
      <c r="A45" t="s">
        <v>161</v>
      </c>
      <c r="B45" s="4">
        <f>'Table 6'!L45</f>
        <v>6.7368405624161074</v>
      </c>
      <c r="C45" s="3">
        <f>Corpus!E45</f>
        <v>94.5</v>
      </c>
      <c r="D45" s="3">
        <f>Corpus!F45</f>
        <v>11.9</v>
      </c>
      <c r="E45" t="str">
        <f>Corpus!Q45</f>
        <v>Minimal (measured)</v>
      </c>
      <c r="F45" s="4">
        <f>IF(Corpus!R45="5x",Assumptions!$B$18,Assumptions!$B$20)</f>
        <v>1.82928</v>
      </c>
      <c r="G45" s="4">
        <f>Bootstrap!E45</f>
        <v>1.1173999999999999</v>
      </c>
      <c r="H45" s="4">
        <f>IF(Corpus!Q45="None",1,Bootstrap!L45)</f>
        <v>1.0321</v>
      </c>
      <c r="I45" s="4">
        <f t="shared" si="0"/>
        <v>2.1096510748511998</v>
      </c>
      <c r="J45" s="4">
        <f t="shared" si="1"/>
        <v>14.212382933602303</v>
      </c>
      <c r="K45" s="4">
        <f>J45*Assumptions!$B$9</f>
        <v>5.0169711755616122</v>
      </c>
      <c r="L45" s="4">
        <f>J45*Assumptions!$B$10</f>
        <v>0.73335895937387885</v>
      </c>
      <c r="M45" s="4">
        <f>J45*Assumptions!$B$21</f>
        <v>2.2583476481494063</v>
      </c>
    </row>
    <row r="46" spans="1:13" ht="15.75" customHeight="1" x14ac:dyDescent="0.15">
      <c r="A46" t="s">
        <v>162</v>
      </c>
      <c r="B46" s="4">
        <f>'Table 6'!L46</f>
        <v>6.8689992825552828</v>
      </c>
      <c r="C46" s="3">
        <f>Corpus!E46</f>
        <v>93.1</v>
      </c>
      <c r="D46" s="3">
        <f>Corpus!F46</f>
        <v>9.6999999999999993</v>
      </c>
      <c r="E46" t="str">
        <f>Corpus!Q46</f>
        <v>Low</v>
      </c>
      <c r="F46" s="4">
        <f>IF(Corpus!R46="5x",Assumptions!$B$18,Assumptions!$B$20)</f>
        <v>1.82928</v>
      </c>
      <c r="G46" s="4">
        <f>Bootstrap!E46</f>
        <v>1.1049</v>
      </c>
      <c r="H46" s="4">
        <f>IF(Corpus!Q46="None",1,Bootstrap!L46)</f>
        <v>1.0103</v>
      </c>
      <c r="I46" s="4">
        <f t="shared" si="0"/>
        <v>2.0419895381615998</v>
      </c>
      <c r="J46" s="4">
        <f t="shared" si="1"/>
        <v>14.026424672617422</v>
      </c>
      <c r="K46" s="4">
        <f>J46*Assumptions!$B$9</f>
        <v>4.9513279094339495</v>
      </c>
      <c r="L46" s="4">
        <f>J46*Assumptions!$B$10</f>
        <v>0.723763513107059</v>
      </c>
      <c r="M46" s="4">
        <f>J46*Assumptions!$B$21</f>
        <v>2.2287988804789087</v>
      </c>
    </row>
    <row r="47" spans="1:13" ht="15.75" customHeight="1" x14ac:dyDescent="0.15">
      <c r="A47" t="s">
        <v>163</v>
      </c>
      <c r="B47" s="4">
        <f>'Table 6'!L47</f>
        <v>6.8283261190702103</v>
      </c>
      <c r="C47" s="3">
        <f>Corpus!E47</f>
        <v>93.5</v>
      </c>
      <c r="D47" s="3">
        <f>Corpus!F47</f>
        <v>9.1</v>
      </c>
      <c r="E47" t="str">
        <f>Corpus!Q47</f>
        <v>Medium</v>
      </c>
      <c r="F47" s="4">
        <f>IF(Corpus!R47="5x",Assumptions!$B$18,Assumptions!$B$20)</f>
        <v>1.82928</v>
      </c>
      <c r="G47" s="4">
        <f>Bootstrap!E47</f>
        <v>1.1045</v>
      </c>
      <c r="H47" s="4">
        <f>IF(Corpus!Q47="None",1,Bootstrap!L47)</f>
        <v>1.0095000000000001</v>
      </c>
      <c r="I47" s="4">
        <f t="shared" si="0"/>
        <v>2.0396339377200001</v>
      </c>
      <c r="J47" s="4">
        <f t="shared" si="1"/>
        <v>13.9272856902755</v>
      </c>
      <c r="K47" s="4">
        <f>J47*Assumptions!$B$9</f>
        <v>4.9163318486672516</v>
      </c>
      <c r="L47" s="4">
        <f>J47*Assumptions!$B$10</f>
        <v>0.71864794161821577</v>
      </c>
      <c r="M47" s="4">
        <f>J47*Assumptions!$B$21</f>
        <v>2.2130456961847771</v>
      </c>
    </row>
    <row r="48" spans="1:13" ht="15.75" customHeight="1" x14ac:dyDescent="0.15">
      <c r="A48" t="s">
        <v>164</v>
      </c>
      <c r="B48" s="4">
        <f>'Table 6'!L48</f>
        <v>7.17712477151382</v>
      </c>
      <c r="C48" s="3">
        <f>Corpus!E48</f>
        <v>94</v>
      </c>
      <c r="D48" s="3">
        <f>Corpus!F48</f>
        <v>9.6999999999999993</v>
      </c>
      <c r="E48" t="str">
        <f>Corpus!Q48</f>
        <v>High</v>
      </c>
      <c r="F48" s="4">
        <f>IF(Corpus!R48="5x",Assumptions!$B$18,Assumptions!$B$20)</f>
        <v>1.82928</v>
      </c>
      <c r="G48" s="4">
        <f>Bootstrap!E48</f>
        <v>1.1279999999999999</v>
      </c>
      <c r="H48" s="4">
        <f>IF(Corpus!Q48="None",1,Bootstrap!L48)</f>
        <v>1.0109999999999999</v>
      </c>
      <c r="I48" s="4">
        <f t="shared" si="0"/>
        <v>2.0861255462399995</v>
      </c>
      <c r="J48" s="4">
        <f t="shared" si="1"/>
        <v>14.972383334406899</v>
      </c>
      <c r="K48" s="4">
        <f>J48*Assumptions!$B$9</f>
        <v>5.2852513170456348</v>
      </c>
      <c r="L48" s="4">
        <f>J48*Assumptions!$B$10</f>
        <v>0.77257498005539604</v>
      </c>
      <c r="M48" s="4">
        <f>J48*Assumptions!$B$21</f>
        <v>2.3791117118372567</v>
      </c>
    </row>
    <row r="49" spans="1:13" ht="15.75" customHeight="1" x14ac:dyDescent="0.15">
      <c r="A49" t="s">
        <v>165</v>
      </c>
      <c r="B49" s="4">
        <f>'Table 6'!L49</f>
        <v>8.3417642608695655</v>
      </c>
      <c r="C49" s="3">
        <f>Corpus!E49</f>
        <v>94.7</v>
      </c>
      <c r="D49" s="3">
        <f>Corpus!F49</f>
        <v>8.4</v>
      </c>
      <c r="E49" t="str">
        <f>Corpus!Q49</f>
        <v>xHigh</v>
      </c>
      <c r="F49" s="4">
        <f>IF(Corpus!R49="5x",Assumptions!$B$18,Assumptions!$B$20)</f>
        <v>1.82928</v>
      </c>
      <c r="G49" s="4">
        <f>Bootstrap!E49</f>
        <v>1.1072</v>
      </c>
      <c r="H49" s="4">
        <f>IF(Corpus!Q49="None",1,Bootstrap!L49)</f>
        <v>1.0228999999999999</v>
      </c>
      <c r="I49" s="4">
        <f t="shared" si="0"/>
        <v>2.0717599908863997</v>
      </c>
      <c r="J49" s="4">
        <f t="shared" si="1"/>
        <v>17.282133449075626</v>
      </c>
      <c r="K49" s="4">
        <f>J49*Assumptions!$B$9</f>
        <v>6.1005931075236957</v>
      </c>
      <c r="L49" s="4">
        <f>J49*Assumptions!$B$10</f>
        <v>0.89175808597230233</v>
      </c>
      <c r="M49" s="4">
        <f>J49*Assumptions!$B$21</f>
        <v>2.7461310050581171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49"/>
  <sheetViews>
    <sheetView zoomScaleNormal="100" workbookViewId="0"/>
  </sheetViews>
  <sheetFormatPr baseColWidth="10" defaultColWidth="14.5" defaultRowHeight="15" customHeight="1" x14ac:dyDescent="0.15"/>
  <cols>
    <col min="1" max="1" width="26" customWidth="1"/>
    <col min="2" max="2" width="10" customWidth="1"/>
    <col min="3" max="3" width="12" customWidth="1"/>
    <col min="4" max="5" width="10" customWidth="1"/>
    <col min="6" max="6" width="12" customWidth="1"/>
    <col min="7" max="7" width="10" customWidth="1"/>
  </cols>
  <sheetData>
    <row r="1" spans="1:10" ht="15" customHeight="1" x14ac:dyDescent="0.15">
      <c r="A1" s="1" t="s">
        <v>337</v>
      </c>
    </row>
    <row r="2" spans="1:10" ht="15" customHeight="1" x14ac:dyDescent="0.15">
      <c r="A2" s="1" t="s">
        <v>167</v>
      </c>
      <c r="B2" s="1" t="s">
        <v>200</v>
      </c>
      <c r="C2" s="1" t="s">
        <v>201</v>
      </c>
      <c r="D2" s="1" t="s">
        <v>202</v>
      </c>
      <c r="E2" s="1" t="s">
        <v>203</v>
      </c>
      <c r="F2" s="1" t="s">
        <v>204</v>
      </c>
      <c r="G2" s="1" t="s">
        <v>205</v>
      </c>
      <c r="H2" s="1" t="s">
        <v>206</v>
      </c>
      <c r="I2" s="1" t="s">
        <v>207</v>
      </c>
      <c r="J2" s="1" t="s">
        <v>208</v>
      </c>
    </row>
    <row r="3" spans="1:10" ht="15" customHeight="1" x14ac:dyDescent="0.15">
      <c r="A3" t="s">
        <v>105</v>
      </c>
      <c r="B3" s="4">
        <f>C_Low!K3</f>
        <v>0.25219037984350001</v>
      </c>
      <c r="C3" s="4">
        <f>'Table 7'!E3</f>
        <v>0.71288350000000011</v>
      </c>
      <c r="D3" s="4">
        <f>C_High!K3</f>
        <v>1.0188436881378002</v>
      </c>
      <c r="E3" s="4">
        <f>C_Low!L3</f>
        <v>3.6864089518200006E-2</v>
      </c>
      <c r="F3" s="4">
        <f>'Table 7'!F3</f>
        <v>0.10420620000000001</v>
      </c>
      <c r="G3" s="4">
        <f>C_High!L3</f>
        <v>0.14893012551816004</v>
      </c>
      <c r="H3" s="4">
        <f>C_Low!M3</f>
        <v>0.11352139194655002</v>
      </c>
      <c r="I3" s="4">
        <f>'Table 7'!G3</f>
        <v>0.32089855000000006</v>
      </c>
      <c r="J3" s="4">
        <f>C_High!M3</f>
        <v>0.45862397179914016</v>
      </c>
    </row>
    <row r="4" spans="1:10" ht="15" customHeight="1" x14ac:dyDescent="0.15">
      <c r="A4" t="s">
        <v>108</v>
      </c>
      <c r="B4" s="4">
        <f>C_Low!K4</f>
        <v>0.52715151193592202</v>
      </c>
      <c r="C4" s="4">
        <f>'Table 7'!E4</f>
        <v>2.7459385713968407</v>
      </c>
      <c r="D4" s="4">
        <f>C_High!K4</f>
        <v>5.6524837507733805</v>
      </c>
      <c r="E4" s="4">
        <f>C_Low!L4</f>
        <v>7.7056708260321752E-2</v>
      </c>
      <c r="F4" s="4">
        <f>'Table 7'!F4</f>
        <v>0.40138932091806512</v>
      </c>
      <c r="G4" s="4">
        <f>C_High!L4</f>
        <v>0.82625541512721379</v>
      </c>
      <c r="H4" s="4">
        <f>C_Low!M4</f>
        <v>0.2372928477241304</v>
      </c>
      <c r="I4" s="4">
        <f>'Table 7'!G4</f>
        <v>1.2360613002690031</v>
      </c>
      <c r="J4" s="4">
        <f>C_High!M4</f>
        <v>2.5444183229401993</v>
      </c>
    </row>
    <row r="5" spans="1:10" ht="15" customHeight="1" x14ac:dyDescent="0.15">
      <c r="A5" t="s">
        <v>111</v>
      </c>
      <c r="B5" s="4">
        <f>C_Low!K5</f>
        <v>1.1347294129593279</v>
      </c>
      <c r="C5" s="4">
        <f>'Table 7'!E5</f>
        <v>6.1013584656390991</v>
      </c>
      <c r="D5" s="4">
        <f>C_High!K5</f>
        <v>13.002075573196469</v>
      </c>
      <c r="E5" s="4">
        <f>C_Low!L5</f>
        <v>0.16586979520878561</v>
      </c>
      <c r="F5" s="4">
        <f>'Table 7'!F5</f>
        <v>0.89186996268265595</v>
      </c>
      <c r="G5" s="4">
        <f>C_High!L5</f>
        <v>1.9005866843539316</v>
      </c>
      <c r="H5" s="4">
        <f>C_Low!M5</f>
        <v>0.51078896237744265</v>
      </c>
      <c r="I5" s="4">
        <f>'Table 7'!G5</f>
        <v>2.7464755246177139</v>
      </c>
      <c r="J5" s="4">
        <f>C_High!M5</f>
        <v>5.8527756617023208</v>
      </c>
    </row>
    <row r="6" spans="1:10" ht="15" customHeight="1" x14ac:dyDescent="0.15">
      <c r="A6" t="s">
        <v>113</v>
      </c>
      <c r="B6" s="4">
        <f>C_Low!K6</f>
        <v>1.7266000068440326</v>
      </c>
      <c r="C6" s="4">
        <f>'Table 7'!E6</f>
        <v>10.097508776727272</v>
      </c>
      <c r="D6" s="4">
        <f>C_High!K6</f>
        <v>21.830622442829803</v>
      </c>
      <c r="E6" s="4">
        <f>C_Low!L6</f>
        <v>0.25238685652451015</v>
      </c>
      <c r="F6" s="4">
        <f>'Table 7'!F6</f>
        <v>1.4760097815272728</v>
      </c>
      <c r="G6" s="4">
        <f>C_High!L6</f>
        <v>3.1911051502833367</v>
      </c>
      <c r="H6" s="4">
        <f>C_Low!M6</f>
        <v>0.77721456398729971</v>
      </c>
      <c r="I6" s="4">
        <f>'Table 7'!G6</f>
        <v>4.5453091915636366</v>
      </c>
      <c r="J6" s="4">
        <f>C_High!M6</f>
        <v>9.8268722554267871</v>
      </c>
    </row>
    <row r="7" spans="1:10" ht="15" customHeight="1" x14ac:dyDescent="0.15">
      <c r="A7" t="s">
        <v>115</v>
      </c>
      <c r="B7" s="4">
        <f>C_Low!K7</f>
        <v>2.707154617394286</v>
      </c>
      <c r="C7" s="4">
        <f>'Table 7'!E7</f>
        <v>14.803139938859998</v>
      </c>
      <c r="D7" s="4">
        <f>C_High!K7</f>
        <v>32.132800039329659</v>
      </c>
      <c r="E7" s="4">
        <f>C_Low!L7</f>
        <v>0.39572005172109115</v>
      </c>
      <c r="F7" s="4">
        <f>'Table 7'!F7</f>
        <v>2.1638584159919998</v>
      </c>
      <c r="G7" s="4">
        <f>C_High!L7</f>
        <v>4.6970325269954971</v>
      </c>
      <c r="H7" s="4">
        <f>C_Low!M7</f>
        <v>1.2186030274899493</v>
      </c>
      <c r="I7" s="4">
        <f>'Table 7'!G7</f>
        <v>6.6635097345179997</v>
      </c>
      <c r="J7" s="4">
        <f>C_High!M7</f>
        <v>14.464311405805901</v>
      </c>
    </row>
    <row r="8" spans="1:10" ht="15" customHeight="1" x14ac:dyDescent="0.15">
      <c r="A8" t="s">
        <v>117</v>
      </c>
      <c r="B8" s="4">
        <f>C_Low!K8</f>
        <v>1.8591702131658945</v>
      </c>
      <c r="C8" s="4">
        <f>'Table 7'!E8</f>
        <v>10.11912771035772</v>
      </c>
      <c r="D8" s="4">
        <f>C_High!K8</f>
        <v>22.757309868027114</v>
      </c>
      <c r="E8" s="4">
        <f>C_Low!L8</f>
        <v>0.27176539093303165</v>
      </c>
      <c r="F8" s="4">
        <f>'Table 7'!F8</f>
        <v>1.479169942930477</v>
      </c>
      <c r="G8" s="4">
        <f>C_High!L8</f>
        <v>3.3265642753263434</v>
      </c>
      <c r="H8" s="4">
        <f>C_Low!M8</f>
        <v>0.8368899344817583</v>
      </c>
      <c r="I8" s="4">
        <f>'Table 7'!G8</f>
        <v>4.5550407738692407</v>
      </c>
      <c r="J8" s="4">
        <f>C_High!M8</f>
        <v>10.244012855607673</v>
      </c>
    </row>
    <row r="9" spans="1:10" ht="15" customHeight="1" x14ac:dyDescent="0.15">
      <c r="A9" t="s">
        <v>119</v>
      </c>
      <c r="B9" s="4">
        <f>C_Low!K9</f>
        <v>0.53374471025181203</v>
      </c>
      <c r="C9" s="4">
        <f>'Table 7'!E9</f>
        <v>2.767796788880597</v>
      </c>
      <c r="D9" s="4">
        <f>C_High!K9</f>
        <v>5.5952045250406623</v>
      </c>
      <c r="E9" s="4">
        <f>C_Low!L9</f>
        <v>7.8020473226610487E-2</v>
      </c>
      <c r="F9" s="4">
        <f>'Table 7'!F9</f>
        <v>0.40458445979104479</v>
      </c>
      <c r="G9" s="4">
        <f>C_High!L9</f>
        <v>0.81788258779631218</v>
      </c>
      <c r="H9" s="4">
        <f>C_Low!M9</f>
        <v>0.24026072084706215</v>
      </c>
      <c r="I9" s="4">
        <f>'Table 7'!G9</f>
        <v>1.2459005942014927</v>
      </c>
      <c r="J9" s="4">
        <f>C_High!M9</f>
        <v>2.5186345581556977</v>
      </c>
    </row>
    <row r="10" spans="1:10" ht="15" customHeight="1" x14ac:dyDescent="0.15">
      <c r="A10" t="s">
        <v>121</v>
      </c>
      <c r="B10" s="4">
        <f>C_Low!K10</f>
        <v>0.92224006341596565</v>
      </c>
      <c r="C10" s="4">
        <f>'Table 7'!E10</f>
        <v>4.844774977178254</v>
      </c>
      <c r="D10" s="4">
        <f>C_High!K10</f>
        <v>10.222386005476926</v>
      </c>
      <c r="E10" s="4">
        <f>C_Low!L10</f>
        <v>0.13480902909989753</v>
      </c>
      <c r="F10" s="4">
        <f>'Table 7'!F10</f>
        <v>0.70818807031840769</v>
      </c>
      <c r="G10" s="4">
        <f>C_High!L10</f>
        <v>1.4942637900357207</v>
      </c>
      <c r="H10" s="4">
        <f>C_Low!M10</f>
        <v>0.4151386574413512</v>
      </c>
      <c r="I10" s="4">
        <f>'Table 7'!G10</f>
        <v>2.1808349684805233</v>
      </c>
      <c r="J10" s="4">
        <f>C_High!M10</f>
        <v>4.6015216324937223</v>
      </c>
    </row>
    <row r="11" spans="1:10" ht="15" customHeight="1" x14ac:dyDescent="0.15">
      <c r="A11" t="s">
        <v>122</v>
      </c>
      <c r="B11" s="4">
        <f>C_Low!K11</f>
        <v>1.0186207910322571</v>
      </c>
      <c r="C11" s="4">
        <f>'Table 7'!E11</f>
        <v>5.3148596282429912</v>
      </c>
      <c r="D11" s="4">
        <f>C_High!K11</f>
        <v>11.006268782560067</v>
      </c>
      <c r="E11" s="4">
        <f>C_Low!L11</f>
        <v>0.14889754339168404</v>
      </c>
      <c r="F11" s="4">
        <f>'Table 7'!F11</f>
        <v>0.77690299381682248</v>
      </c>
      <c r="G11" s="4">
        <f>C_High!L11</f>
        <v>1.6088483546178456</v>
      </c>
      <c r="H11" s="4">
        <f>C_Low!M11</f>
        <v>0.45852363652981776</v>
      </c>
      <c r="I11" s="4">
        <f>'Table 7'!G11</f>
        <v>2.3924396456878507</v>
      </c>
      <c r="J11" s="4">
        <f>C_High!M11</f>
        <v>4.9543799137359628</v>
      </c>
    </row>
    <row r="12" spans="1:10" ht="15" customHeight="1" x14ac:dyDescent="0.15">
      <c r="A12" t="s">
        <v>123</v>
      </c>
      <c r="B12" s="4">
        <f>C_Low!K12</f>
        <v>1.1148177218565449</v>
      </c>
      <c r="C12" s="4">
        <f>'Table 7'!E12</f>
        <v>5.934546104923542</v>
      </c>
      <c r="D12" s="4">
        <f>C_High!K12</f>
        <v>12.045625792537324</v>
      </c>
      <c r="E12" s="4">
        <f>C_Low!L12</f>
        <v>0.1629591910702485</v>
      </c>
      <c r="F12" s="4">
        <f>'Table 7'!F12</f>
        <v>0.86748605952990021</v>
      </c>
      <c r="G12" s="4">
        <f>C_High!L12</f>
        <v>1.7607770280309518</v>
      </c>
      <c r="H12" s="4">
        <f>C_Low!M12</f>
        <v>0.5018258810283428</v>
      </c>
      <c r="I12" s="4">
        <f>'Table 7'!G12</f>
        <v>2.6713863344825803</v>
      </c>
      <c r="J12" s="4">
        <f>C_High!M12</f>
        <v>5.4222377859325244</v>
      </c>
    </row>
    <row r="13" spans="1:10" ht="15" customHeight="1" x14ac:dyDescent="0.15">
      <c r="A13" t="s">
        <v>124</v>
      </c>
      <c r="B13" s="4">
        <f>C_Low!K13</f>
        <v>1.6370499025985519</v>
      </c>
      <c r="C13" s="4">
        <f>'Table 7'!E13</f>
        <v>9.0488639722140096</v>
      </c>
      <c r="D13" s="4">
        <f>C_High!K13</f>
        <v>18.901463790402449</v>
      </c>
      <c r="E13" s="4">
        <f>C_Low!L13</f>
        <v>0.23929681295774868</v>
      </c>
      <c r="F13" s="4">
        <f>'Table 7'!F13</f>
        <v>1.3227234588278836</v>
      </c>
      <c r="G13" s="4">
        <f>C_High!L13</f>
        <v>2.7629335172372986</v>
      </c>
      <c r="H13" s="4">
        <f>C_Low!M13</f>
        <v>0.73690433292609048</v>
      </c>
      <c r="I13" s="4">
        <f>'Table 7'!G13</f>
        <v>4.0732704962742385</v>
      </c>
      <c r="J13" s="4">
        <f>C_High!M13</f>
        <v>8.5083359668412157</v>
      </c>
    </row>
    <row r="14" spans="1:10" ht="15" customHeight="1" x14ac:dyDescent="0.15">
      <c r="A14" t="s">
        <v>125</v>
      </c>
      <c r="B14" s="4">
        <f>C_Low!K14</f>
        <v>0.20571018026829779</v>
      </c>
      <c r="C14" s="4">
        <f>'Table 7'!E14</f>
        <v>1.0658969623802528</v>
      </c>
      <c r="D14" s="4">
        <f>C_High!K14</f>
        <v>2.1721039308120451</v>
      </c>
      <c r="E14" s="4">
        <f>C_Low!L14</f>
        <v>3.0069816719105288E-2</v>
      </c>
      <c r="F14" s="4">
        <f>'Table 7'!F14</f>
        <v>0.15580816787201429</v>
      </c>
      <c r="G14" s="4">
        <f>C_High!L14</f>
        <v>0.31750867657195903</v>
      </c>
      <c r="H14" s="4">
        <f>C_Low!M14</f>
        <v>9.2598718540035471E-2</v>
      </c>
      <c r="I14" s="4">
        <f>'Table 7'!G14</f>
        <v>0.47980460997796653</v>
      </c>
      <c r="J14" s="4">
        <f>C_High!M14</f>
        <v>0.97775443231171111</v>
      </c>
    </row>
    <row r="15" spans="1:10" ht="15" customHeight="1" x14ac:dyDescent="0.15">
      <c r="A15" t="s">
        <v>127</v>
      </c>
      <c r="B15" s="4">
        <f>C_Low!K15</f>
        <v>0.33785299203313451</v>
      </c>
      <c r="C15" s="4">
        <f>'Table 7'!E15</f>
        <v>1.7554453234134386</v>
      </c>
      <c r="D15" s="4">
        <f>C_High!K15</f>
        <v>3.6938960423665392</v>
      </c>
      <c r="E15" s="4">
        <f>C_Low!L15</f>
        <v>4.9385876455834962E-2</v>
      </c>
      <c r="F15" s="4">
        <f>'Table 7'!F15</f>
        <v>0.2566033390598681</v>
      </c>
      <c r="G15" s="4">
        <f>C_High!L15</f>
        <v>0.53995760845924479</v>
      </c>
      <c r="H15" s="4">
        <f>C_Low!M15</f>
        <v>0.15208170094636</v>
      </c>
      <c r="I15" s="4">
        <f>'Table 7'!G15</f>
        <v>0.79019904218242332</v>
      </c>
      <c r="J15" s="4">
        <f>C_High!M15</f>
        <v>1.6627764338018221</v>
      </c>
    </row>
    <row r="16" spans="1:10" ht="15" customHeight="1" x14ac:dyDescent="0.15">
      <c r="A16" t="s">
        <v>128</v>
      </c>
      <c r="B16" s="4">
        <f>C_Low!K16</f>
        <v>0.37552533330020649</v>
      </c>
      <c r="C16" s="4">
        <f>'Table 7'!E16</f>
        <v>1.9578436401037502</v>
      </c>
      <c r="D16" s="4">
        <f>C_High!K16</f>
        <v>4.0411968579849056</v>
      </c>
      <c r="E16" s="4">
        <f>C_Low!L16</f>
        <v>5.4892654952664745E-2</v>
      </c>
      <c r="F16" s="4">
        <f>'Table 7'!F16</f>
        <v>0.28618904200950002</v>
      </c>
      <c r="G16" s="4">
        <f>C_High!L16</f>
        <v>0.59072452654963492</v>
      </c>
      <c r="H16" s="4">
        <f>C_Low!M16</f>
        <v>0.16903959054221762</v>
      </c>
      <c r="I16" s="4">
        <f>'Table 7'!G16</f>
        <v>0.88130695300987516</v>
      </c>
      <c r="J16" s="4">
        <f>C_High!M16</f>
        <v>1.8191109935801744</v>
      </c>
    </row>
    <row r="17" spans="1:10" ht="15" customHeight="1" x14ac:dyDescent="0.15">
      <c r="A17" t="s">
        <v>129</v>
      </c>
      <c r="B17" s="4">
        <f>C_Low!K17</f>
        <v>0.38460985013588972</v>
      </c>
      <c r="C17" s="4">
        <f>'Table 7'!E17</f>
        <v>2.0879491226767959</v>
      </c>
      <c r="D17" s="4">
        <f>C_High!K17</f>
        <v>4.3366713591162842</v>
      </c>
      <c r="E17" s="4">
        <f>C_Low!L17</f>
        <v>5.6220589991535161E-2</v>
      </c>
      <c r="F17" s="4">
        <f>'Table 7'!F17</f>
        <v>0.30520729385303874</v>
      </c>
      <c r="G17" s="4">
        <f>C_High!L17</f>
        <v>0.63391570008611986</v>
      </c>
      <c r="H17" s="4">
        <f>C_Low!M17</f>
        <v>0.17312890987703369</v>
      </c>
      <c r="I17" s="4">
        <f>'Table 7'!G17</f>
        <v>0.9398728487063539</v>
      </c>
      <c r="J17" s="4">
        <f>C_High!M17</f>
        <v>1.9521163710016365</v>
      </c>
    </row>
    <row r="18" spans="1:10" ht="15" customHeight="1" x14ac:dyDescent="0.15">
      <c r="A18" t="s">
        <v>130</v>
      </c>
      <c r="B18" s="4">
        <f>C_Low!K18</f>
        <v>0.74740000490497049</v>
      </c>
      <c r="C18" s="4">
        <f>'Table 7'!E18</f>
        <v>4.000279468595906</v>
      </c>
      <c r="D18" s="4">
        <f>C_High!K18</f>
        <v>8.5451100067613179</v>
      </c>
      <c r="E18" s="4">
        <f>C_Low!L18</f>
        <v>0.10925167210508918</v>
      </c>
      <c r="F18" s="4">
        <f>'Table 7'!F18</f>
        <v>0.58474340107520895</v>
      </c>
      <c r="G18" s="4">
        <f>C_High!L18</f>
        <v>1.2490869018381983</v>
      </c>
      <c r="H18" s="4">
        <f>C_Low!M18</f>
        <v>0.3364358662305944</v>
      </c>
      <c r="I18" s="4">
        <f>'Table 7'!G18</f>
        <v>1.8006923726909052</v>
      </c>
      <c r="J18" s="4">
        <f>C_High!M18</f>
        <v>3.8465098585676305</v>
      </c>
    </row>
    <row r="19" spans="1:10" ht="15" customHeight="1" x14ac:dyDescent="0.15">
      <c r="A19" t="s">
        <v>131</v>
      </c>
      <c r="B19" s="4">
        <f>C_Low!K19</f>
        <v>0.22332632070436761</v>
      </c>
      <c r="C19" s="4">
        <f>'Table 7'!E19</f>
        <v>1.1477762627707861</v>
      </c>
      <c r="D19" s="4">
        <f>C_High!K19</f>
        <v>2.3320303426904641</v>
      </c>
      <c r="E19" s="4">
        <f>C_Low!L19</f>
        <v>3.2644867275765918E-2</v>
      </c>
      <c r="F19" s="4">
        <f>'Table 7'!F19</f>
        <v>0.16777692679595627</v>
      </c>
      <c r="G19" s="4">
        <f>C_High!L19</f>
        <v>0.34088602176438515</v>
      </c>
      <c r="H19" s="4">
        <f>C_Low!M19</f>
        <v>0.10052847694029467</v>
      </c>
      <c r="I19" s="4">
        <f>'Table 7'!G19</f>
        <v>0.51666189278832275</v>
      </c>
      <c r="J19" s="4">
        <f>C_High!M19</f>
        <v>1.0497439701232714</v>
      </c>
    </row>
    <row r="20" spans="1:10" ht="15" customHeight="1" x14ac:dyDescent="0.15">
      <c r="A20" t="s">
        <v>133</v>
      </c>
      <c r="B20" s="4">
        <f>C_Low!K20</f>
        <v>0.33180121084391095</v>
      </c>
      <c r="C20" s="4">
        <f>'Table 7'!E20</f>
        <v>1.7335064250727066</v>
      </c>
      <c r="D20" s="4">
        <f>C_High!K20</f>
        <v>3.5882338107021754</v>
      </c>
      <c r="E20" s="4">
        <f>C_Low!L20</f>
        <v>4.8501253483132598E-2</v>
      </c>
      <c r="F20" s="4">
        <f>'Table 7'!F20</f>
        <v>0.2533964066111945</v>
      </c>
      <c r="G20" s="4">
        <f>C_High!L20</f>
        <v>0.52451236439725857</v>
      </c>
      <c r="H20" s="4">
        <f>C_Low!M20</f>
        <v>0.14935754221840639</v>
      </c>
      <c r="I20" s="4">
        <f>'Table 7'!G20</f>
        <v>0.78032343043641117</v>
      </c>
      <c r="J20" s="4">
        <f>C_High!M20</f>
        <v>1.6152134632310928</v>
      </c>
    </row>
    <row r="21" spans="1:10" ht="15.75" customHeight="1" x14ac:dyDescent="0.15">
      <c r="A21" t="s">
        <v>134</v>
      </c>
      <c r="B21" s="4">
        <f>C_Low!K21</f>
        <v>0.3815665031998618</v>
      </c>
      <c r="C21" s="4">
        <f>'Table 7'!E21</f>
        <v>1.9819377404328025</v>
      </c>
      <c r="D21" s="4">
        <f>C_High!K21</f>
        <v>4.4110431742265712</v>
      </c>
      <c r="E21" s="4">
        <f>C_Low!L21</f>
        <v>5.5775726813350905E-2</v>
      </c>
      <c r="F21" s="4">
        <f>'Table 7'!F21</f>
        <v>0.28971101248252862</v>
      </c>
      <c r="G21" s="4">
        <f>C_High!L21</f>
        <v>0.64478704756399741</v>
      </c>
      <c r="H21" s="4">
        <f>C_Low!M21</f>
        <v>0.17175897268685</v>
      </c>
      <c r="I21" s="4">
        <f>'Table 7'!G21</f>
        <v>0.89215271092003501</v>
      </c>
      <c r="J21" s="4">
        <f>C_High!M21</f>
        <v>1.9855942220526979</v>
      </c>
    </row>
    <row r="22" spans="1:10" ht="15.75" customHeight="1" x14ac:dyDescent="0.15">
      <c r="A22" t="s">
        <v>135</v>
      </c>
      <c r="B22" s="4">
        <f>C_Low!K22</f>
        <v>0.63909195082210701</v>
      </c>
      <c r="C22" s="4">
        <f>'Table 7'!E22</f>
        <v>3.4091927975238319</v>
      </c>
      <c r="D22" s="4">
        <f>C_High!K22</f>
        <v>7.1663466521987393</v>
      </c>
      <c r="E22" s="4">
        <f>C_Low!L22</f>
        <v>9.3419673264647937E-2</v>
      </c>
      <c r="F22" s="4">
        <f>'Table 7'!F22</f>
        <v>0.49834093017628817</v>
      </c>
      <c r="G22" s="4">
        <f>C_High!L22</f>
        <v>1.0475452896698441</v>
      </c>
      <c r="H22" s="4">
        <f>C_Low!M22</f>
        <v>0.28768190080915812</v>
      </c>
      <c r="I22" s="4">
        <f>'Table 7'!G22</f>
        <v>1.5346196473839573</v>
      </c>
      <c r="J22" s="4">
        <f>C_High!M22</f>
        <v>3.2258710567546172</v>
      </c>
    </row>
    <row r="23" spans="1:10" ht="15.75" customHeight="1" x14ac:dyDescent="0.15">
      <c r="A23" t="s">
        <v>136</v>
      </c>
      <c r="B23" s="4">
        <f>C_Low!K23</f>
        <v>2.0678278454376153</v>
      </c>
      <c r="C23" s="4">
        <f>'Table 7'!E23</f>
        <v>14.299340431849739</v>
      </c>
      <c r="D23" s="4">
        <f>C_High!K23</f>
        <v>39.081316124999837</v>
      </c>
      <c r="E23" s="4">
        <f>C_Low!L23</f>
        <v>0.30226605332742484</v>
      </c>
      <c r="F23" s="4">
        <f>'Table 7'!F23</f>
        <v>2.0902152019361093</v>
      </c>
      <c r="G23" s="4">
        <f>C_High!L23</f>
        <v>5.7127362947591829</v>
      </c>
      <c r="H23" s="4">
        <f>C_Low!M23</f>
        <v>0.93081542390945371</v>
      </c>
      <c r="I23" s="4">
        <f>'Table 7'!G23</f>
        <v>6.4367285966598411</v>
      </c>
      <c r="J23" s="4">
        <f>C_High!M23</f>
        <v>17.592127853434771</v>
      </c>
    </row>
    <row r="24" spans="1:10" ht="15.75" customHeight="1" x14ac:dyDescent="0.15">
      <c r="A24" t="s">
        <v>137</v>
      </c>
      <c r="B24" s="4">
        <f>C_Low!K24</f>
        <v>0.37559640638179603</v>
      </c>
      <c r="C24" s="4">
        <f>'Table 7'!E24</f>
        <v>1.942031025942518</v>
      </c>
      <c r="D24" s="4">
        <f>C_High!K24</f>
        <v>4.009372396182636</v>
      </c>
      <c r="E24" s="4">
        <f>C_Low!L24</f>
        <v>5.4903044105667639E-2</v>
      </c>
      <c r="F24" s="4">
        <f>'Table 7'!F24</f>
        <v>0.2838776230556202</v>
      </c>
      <c r="G24" s="4">
        <f>C_High!L24</f>
        <v>0.58607256556097453</v>
      </c>
      <c r="H24" s="4">
        <f>C_Low!M24</f>
        <v>0.16907158349594165</v>
      </c>
      <c r="I24" s="4">
        <f>'Table 7'!G24</f>
        <v>0.87418903689027239</v>
      </c>
      <c r="J24" s="4">
        <f>C_High!M24</f>
        <v>1.8047854780550168</v>
      </c>
    </row>
    <row r="25" spans="1:10" ht="15.75" customHeight="1" x14ac:dyDescent="0.15">
      <c r="A25" t="s">
        <v>139</v>
      </c>
      <c r="B25" s="4">
        <f>C_Low!K25</f>
        <v>0.47254147657847789</v>
      </c>
      <c r="C25" s="4">
        <f>'Table 7'!E25</f>
        <v>2.4584015013510641</v>
      </c>
      <c r="D25" s="4">
        <f>C_High!K25</f>
        <v>5.0437623122450423</v>
      </c>
      <c r="E25" s="4">
        <f>C_Low!L25</f>
        <v>6.9074051533851169E-2</v>
      </c>
      <c r="F25" s="4">
        <f>'Table 7'!F25</f>
        <v>0.35935840642978728</v>
      </c>
      <c r="G25" s="4">
        <f>C_High!L25</f>
        <v>0.73727517085508265</v>
      </c>
      <c r="H25" s="4">
        <f>C_Low!M25</f>
        <v>0.21271059668079362</v>
      </c>
      <c r="I25" s="4">
        <f>'Table 7'!G25</f>
        <v>1.1066288911180853</v>
      </c>
      <c r="J25" s="4">
        <f>C_High!M25</f>
        <v>2.2704074544355164</v>
      </c>
    </row>
    <row r="26" spans="1:10" ht="15.75" customHeight="1" x14ac:dyDescent="0.15">
      <c r="A26" t="s">
        <v>140</v>
      </c>
      <c r="B26" s="4">
        <f>C_Low!K26</f>
        <v>0.57308556764094298</v>
      </c>
      <c r="C26" s="4">
        <f>'Table 7'!E26</f>
        <v>3.0989045744999997</v>
      </c>
      <c r="D26" s="4">
        <f>C_High!K26</f>
        <v>6.4541107219509364</v>
      </c>
      <c r="E26" s="4">
        <f>C_Low!L26</f>
        <v>8.3771148131084022E-2</v>
      </c>
      <c r="F26" s="4">
        <f>'Table 7'!F26</f>
        <v>0.45298435139999998</v>
      </c>
      <c r="G26" s="4">
        <f>C_High!L26</f>
        <v>0.94343374859112838</v>
      </c>
      <c r="H26" s="4">
        <f>C_Low!M26</f>
        <v>0.25796967903157464</v>
      </c>
      <c r="I26" s="4">
        <f>'Table 7'!G26</f>
        <v>1.39494599685</v>
      </c>
      <c r="J26" s="4">
        <f>C_High!M26</f>
        <v>2.9052640048668668</v>
      </c>
    </row>
    <row r="27" spans="1:10" ht="15.75" customHeight="1" x14ac:dyDescent="0.15">
      <c r="A27" t="s">
        <v>141</v>
      </c>
      <c r="B27" s="4">
        <f>C_Low!K27</f>
        <v>0.74569413603087442</v>
      </c>
      <c r="C27" s="4">
        <f>'Table 7'!E27</f>
        <v>3.9880082764516134</v>
      </c>
      <c r="D27" s="4">
        <f>C_High!K27</f>
        <v>8.5823966346567619</v>
      </c>
      <c r="E27" s="4">
        <f>C_Low!L27</f>
        <v>0.109002315635108</v>
      </c>
      <c r="F27" s="4">
        <f>'Table 7'!F27</f>
        <v>0.58294965174193558</v>
      </c>
      <c r="G27" s="4">
        <f>C_High!L27</f>
        <v>1.2545372984370791</v>
      </c>
      <c r="H27" s="4">
        <f>C_Low!M27</f>
        <v>0.33566798361276479</v>
      </c>
      <c r="I27" s="4">
        <f>'Table 7'!G27</f>
        <v>1.7951685980967746</v>
      </c>
      <c r="J27" s="4">
        <f>C_High!M27</f>
        <v>3.8632941225126332</v>
      </c>
    </row>
    <row r="28" spans="1:10" ht="15.75" customHeight="1" x14ac:dyDescent="0.15">
      <c r="A28" t="s">
        <v>142</v>
      </c>
      <c r="B28" s="4">
        <f>C_Low!K28</f>
        <v>1.2627805278848327</v>
      </c>
      <c r="C28" s="4">
        <f>'Table 7'!E28</f>
        <v>6.8225492788709028</v>
      </c>
      <c r="D28" s="4">
        <f>C_High!K28</f>
        <v>15.32918008579218</v>
      </c>
      <c r="E28" s="4">
        <f>C_Low!L28</f>
        <v>0.18458774855200388</v>
      </c>
      <c r="F28" s="4">
        <f>'Table 7'!F28</f>
        <v>0.9972904894893444</v>
      </c>
      <c r="G28" s="4">
        <f>C_High!L28</f>
        <v>2.2407526697645226</v>
      </c>
      <c r="H28" s="4">
        <f>C_Low!M28</f>
        <v>0.56843010164560892</v>
      </c>
      <c r="I28" s="4">
        <f>'Table 7'!G28</f>
        <v>3.0711135422452878</v>
      </c>
      <c r="J28" s="4">
        <f>C_High!M28</f>
        <v>6.9003023105733075</v>
      </c>
    </row>
    <row r="29" spans="1:10" ht="15.75" customHeight="1" x14ac:dyDescent="0.15">
      <c r="A29" t="s">
        <v>143</v>
      </c>
      <c r="B29" s="4">
        <f>C_Low!K29</f>
        <v>0.87404397393148059</v>
      </c>
      <c r="C29" s="4">
        <f>'Table 7'!E29</f>
        <v>4.7661294303915334</v>
      </c>
      <c r="D29" s="4">
        <f>C_High!K29</f>
        <v>10.714861834743237</v>
      </c>
      <c r="E29" s="4">
        <f>C_Low!L29</f>
        <v>0.12776393499961586</v>
      </c>
      <c r="F29" s="4">
        <f>'Table 7'!F29</f>
        <v>0.69669200738867743</v>
      </c>
      <c r="G29" s="4">
        <f>C_High!L29</f>
        <v>1.5662517582797479</v>
      </c>
      <c r="H29" s="4">
        <f>C_Low!M29</f>
        <v>0.39344359053176287</v>
      </c>
      <c r="I29" s="4">
        <f>'Table 7'!G29</f>
        <v>2.1454333328306365</v>
      </c>
      <c r="J29" s="4">
        <f>C_High!M29</f>
        <v>4.8232055114467443</v>
      </c>
    </row>
    <row r="30" spans="1:10" ht="15.75" customHeight="1" x14ac:dyDescent="0.15">
      <c r="A30" t="s">
        <v>145</v>
      </c>
      <c r="B30" s="4">
        <f>C_Low!K30</f>
        <v>0.74684209241937538</v>
      </c>
      <c r="C30" s="4">
        <f>'Table 7'!E30</f>
        <v>3.9426900005828442</v>
      </c>
      <c r="D30" s="4">
        <f>C_High!K30</f>
        <v>8.1685336490233738</v>
      </c>
      <c r="E30" s="4">
        <f>C_Low!L30</f>
        <v>0.10917011889189737</v>
      </c>
      <c r="F30" s="4">
        <f>'Table 7'!F30</f>
        <v>0.57632522388123164</v>
      </c>
      <c r="G30" s="4">
        <f>C_High!L30</f>
        <v>1.1940406127184309</v>
      </c>
      <c r="H30" s="4">
        <f>C_Low!M30</f>
        <v>0.33618472658764526</v>
      </c>
      <c r="I30" s="4">
        <f>'Table 7'!G30</f>
        <v>1.7747689549365837</v>
      </c>
      <c r="J30" s="4">
        <f>C_High!M30</f>
        <v>3.6769971581581138</v>
      </c>
    </row>
    <row r="31" spans="1:10" ht="15.75" customHeight="1" x14ac:dyDescent="0.15">
      <c r="A31" t="s">
        <v>146</v>
      </c>
      <c r="B31" s="4">
        <f>C_Low!K31</f>
        <v>0.86133716379932812</v>
      </c>
      <c r="C31" s="4">
        <f>'Table 7'!E31</f>
        <v>4.6322527075785027</v>
      </c>
      <c r="D31" s="4">
        <f>C_High!K31</f>
        <v>10.839188880856334</v>
      </c>
      <c r="E31" s="4">
        <f>C_Low!L31</f>
        <v>0.12590650892930688</v>
      </c>
      <c r="F31" s="4">
        <f>'Table 7'!F31</f>
        <v>0.67712249209929387</v>
      </c>
      <c r="G31" s="4">
        <f>C_High!L31</f>
        <v>1.5844253434906144</v>
      </c>
      <c r="H31" s="4">
        <f>C_Low!M31</f>
        <v>0.38772372614083078</v>
      </c>
      <c r="I31" s="4">
        <f>'Table 7'!G31</f>
        <v>2.0851698448561589</v>
      </c>
      <c r="J31" s="4">
        <f>C_High!M31</f>
        <v>4.8791702922608264</v>
      </c>
    </row>
    <row r="32" spans="1:10" ht="15.75" customHeight="1" x14ac:dyDescent="0.15">
      <c r="A32" t="s">
        <v>147</v>
      </c>
      <c r="B32" s="4">
        <f>C_Low!K32</f>
        <v>1.2350603078947631</v>
      </c>
      <c r="C32" s="4">
        <f>'Table 7'!E32</f>
        <v>6.57252545432699</v>
      </c>
      <c r="D32" s="4">
        <f>C_High!K32</f>
        <v>13.522546612091773</v>
      </c>
      <c r="E32" s="4">
        <f>C_Low!L32</f>
        <v>0.18053572772626</v>
      </c>
      <c r="F32" s="4">
        <f>'Table 7'!F32</f>
        <v>0.96074309757301046</v>
      </c>
      <c r="G32" s="4">
        <f>C_High!L32</f>
        <v>1.976666870209449</v>
      </c>
      <c r="H32" s="4">
        <f>C_Low!M32</f>
        <v>0.55595207627330845</v>
      </c>
      <c r="I32" s="4">
        <f>'Table 7'!G32</f>
        <v>2.9585674070610732</v>
      </c>
      <c r="J32" s="4">
        <f>C_High!M32</f>
        <v>6.0870613503155324</v>
      </c>
    </row>
    <row r="33" spans="1:10" ht="15.75" customHeight="1" x14ac:dyDescent="0.15">
      <c r="A33" t="s">
        <v>148</v>
      </c>
      <c r="B33" s="4">
        <f>C_Low!K33</f>
        <v>1.2806072179317831</v>
      </c>
      <c r="C33" s="4">
        <f>'Table 7'!E33</f>
        <v>6.8531036566344516</v>
      </c>
      <c r="D33" s="4">
        <f>C_High!K33</f>
        <v>15.276568047859261</v>
      </c>
      <c r="E33" s="4">
        <f>C_Low!L33</f>
        <v>0.18719357633223802</v>
      </c>
      <c r="F33" s="4">
        <f>'Table 7'!F33</f>
        <v>1.0017567951341013</v>
      </c>
      <c r="G33" s="4">
        <f>C_High!L33</f>
        <v>2.2330620715850933</v>
      </c>
      <c r="H33" s="4">
        <f>C_Low!M33</f>
        <v>0.57645463719365553</v>
      </c>
      <c r="I33" s="4">
        <f>'Table 7'!G33</f>
        <v>3.0848673400544322</v>
      </c>
      <c r="J33" s="4">
        <f>C_High!M33</f>
        <v>6.8766194413734754</v>
      </c>
    </row>
    <row r="34" spans="1:10" ht="15.75" customHeight="1" x14ac:dyDescent="0.15">
      <c r="A34" t="s">
        <v>149</v>
      </c>
      <c r="B34" s="4">
        <f>C_Low!K34</f>
        <v>0.3868383363720983</v>
      </c>
      <c r="C34" s="4">
        <f>'Table 7'!E34</f>
        <v>2.0557123494318708</v>
      </c>
      <c r="D34" s="4">
        <f>C_High!K34</f>
        <v>4.2797141753028525</v>
      </c>
      <c r="E34" s="4">
        <f>C_Low!L34</f>
        <v>5.6546340387536184E-2</v>
      </c>
      <c r="F34" s="4">
        <f>'Table 7'!F34</f>
        <v>0.30049506297644346</v>
      </c>
      <c r="G34" s="4">
        <f>C_High!L34</f>
        <v>0.62558994743803742</v>
      </c>
      <c r="H34" s="4">
        <f>C_Low!M34</f>
        <v>0.17413204433293605</v>
      </c>
      <c r="I34" s="4">
        <f>'Table 7'!G34</f>
        <v>0.92536173463094706</v>
      </c>
      <c r="J34" s="4">
        <f>C_High!M34</f>
        <v>1.926477570695817</v>
      </c>
    </row>
    <row r="35" spans="1:10" ht="15.75" customHeight="1" x14ac:dyDescent="0.15">
      <c r="A35" t="s">
        <v>150</v>
      </c>
      <c r="B35" s="4">
        <f>C_Low!K35</f>
        <v>0.34487641256069118</v>
      </c>
      <c r="C35" s="4">
        <f>'Table 7'!E35</f>
        <v>1.8101202071170648</v>
      </c>
      <c r="D35" s="4">
        <f>C_High!K35</f>
        <v>3.7593663290509265</v>
      </c>
      <c r="E35" s="4">
        <f>C_Low!L35</f>
        <v>5.0412529428135032E-2</v>
      </c>
      <c r="F35" s="4">
        <f>'Table 7'!F35</f>
        <v>0.26459547503467579</v>
      </c>
      <c r="G35" s="4">
        <f>C_High!L35</f>
        <v>0.54952776934568792</v>
      </c>
      <c r="H35" s="4">
        <f>C_Low!M35</f>
        <v>0.15524323500253212</v>
      </c>
      <c r="I35" s="4">
        <f>'Table 7'!G35</f>
        <v>0.81481048416686019</v>
      </c>
      <c r="J35" s="4">
        <f>C_High!M35</f>
        <v>1.692247336221508</v>
      </c>
    </row>
    <row r="36" spans="1:10" ht="15.75" customHeight="1" x14ac:dyDescent="0.15">
      <c r="A36" t="s">
        <v>151</v>
      </c>
      <c r="B36" s="4">
        <f>C_Low!K36</f>
        <v>0.36772542824937199</v>
      </c>
      <c r="C36" s="4">
        <f>'Table 7'!E36</f>
        <v>1.9546295401661109</v>
      </c>
      <c r="D36" s="4">
        <f>C_High!K36</f>
        <v>4.0153222866110116</v>
      </c>
      <c r="E36" s="4">
        <f>C_Low!L36</f>
        <v>5.3752498860248146E-2</v>
      </c>
      <c r="F36" s="4">
        <f>'Table 7'!F36</f>
        <v>0.28571921890246832</v>
      </c>
      <c r="G36" s="4">
        <f>C_High!L36</f>
        <v>0.5869422945867655</v>
      </c>
      <c r="H36" s="4">
        <f>C_Low!M36</f>
        <v>0.16552852846692695</v>
      </c>
      <c r="I36" s="4">
        <f>'Table 7'!G36</f>
        <v>0.87986015278298879</v>
      </c>
      <c r="J36" s="4">
        <f>C_High!M36</f>
        <v>1.8074637715084698</v>
      </c>
    </row>
    <row r="37" spans="1:10" ht="15.75" customHeight="1" x14ac:dyDescent="0.15">
      <c r="A37" t="s">
        <v>152</v>
      </c>
      <c r="B37" s="4">
        <f>C_Low!K37</f>
        <v>0.48988246068338115</v>
      </c>
      <c r="C37" s="4">
        <f>'Table 7'!E37</f>
        <v>2.6328583787255866</v>
      </c>
      <c r="D37" s="4">
        <f>C_High!K37</f>
        <v>5.7925167725951807</v>
      </c>
      <c r="E37" s="4">
        <f>C_Low!L37</f>
        <v>7.1608880938420591E-2</v>
      </c>
      <c r="F37" s="4">
        <f>'Table 7'!F37</f>
        <v>0.38485975167773445</v>
      </c>
      <c r="G37" s="4">
        <f>C_High!L37</f>
        <v>0.84672483134819077</v>
      </c>
      <c r="H37" s="4">
        <f>C_Low!M37</f>
        <v>0.22051649575804327</v>
      </c>
      <c r="I37" s="4">
        <f>'Table 7'!G37</f>
        <v>1.1851591965424808</v>
      </c>
      <c r="J37" s="4">
        <f>C_High!M37</f>
        <v>2.6074530174656494</v>
      </c>
    </row>
    <row r="38" spans="1:10" ht="15.75" customHeight="1" x14ac:dyDescent="0.15">
      <c r="A38" t="s">
        <v>153</v>
      </c>
      <c r="B38" s="4">
        <f>C_Low!K38</f>
        <v>0.62267381988268389</v>
      </c>
      <c r="C38" s="4">
        <f>'Table 7'!E38</f>
        <v>3.3071982921145162</v>
      </c>
      <c r="D38" s="4">
        <f>C_High!K38</f>
        <v>7.068013982070898</v>
      </c>
      <c r="E38" s="4">
        <f>C_Low!L38</f>
        <v>9.1019742509763427E-2</v>
      </c>
      <c r="F38" s="4">
        <f>'Table 7'!F38</f>
        <v>0.48343181833741938</v>
      </c>
      <c r="G38" s="4">
        <f>C_High!L38</f>
        <v>1.0331714489372759</v>
      </c>
      <c r="H38" s="4">
        <f>C_Low!M38</f>
        <v>0.28029141637212035</v>
      </c>
      <c r="I38" s="4">
        <f>'Table 7'!G38</f>
        <v>1.4887076731359681</v>
      </c>
      <c r="J38" s="4">
        <f>C_High!M38</f>
        <v>3.1816074270568437</v>
      </c>
    </row>
    <row r="39" spans="1:10" ht="15.75" customHeight="1" x14ac:dyDescent="0.15">
      <c r="A39" t="s">
        <v>154</v>
      </c>
      <c r="B39" s="4">
        <f>C_Low!K39</f>
        <v>0.8621680429431493</v>
      </c>
      <c r="C39" s="4">
        <f>'Table 7'!E39</f>
        <v>4.5423044938968067</v>
      </c>
      <c r="D39" s="4">
        <f>C_High!K39</f>
        <v>9.2838123390095717</v>
      </c>
      <c r="E39" s="4">
        <f>C_Low!L39</f>
        <v>0.12602796321775214</v>
      </c>
      <c r="F39" s="4">
        <f>'Table 7'!F39</f>
        <v>0.66397425463194115</v>
      </c>
      <c r="G39" s="4">
        <f>C_High!L39</f>
        <v>1.3570671860988497</v>
      </c>
      <c r="H39" s="4">
        <f>C_Low!M39</f>
        <v>0.38809773944381432</v>
      </c>
      <c r="I39" s="4">
        <f>'Table 7'!G39</f>
        <v>2.0446804081592145</v>
      </c>
      <c r="J39" s="4">
        <f>C_High!M39</f>
        <v>4.1790305401377372</v>
      </c>
    </row>
    <row r="40" spans="1:10" ht="15.75" customHeight="1" x14ac:dyDescent="0.15">
      <c r="A40" t="s">
        <v>155</v>
      </c>
      <c r="B40" s="4">
        <f>C_Low!K40</f>
        <v>0.80931904088276063</v>
      </c>
      <c r="C40" s="4">
        <f>'Table 7'!E40</f>
        <v>4.2371005985163341</v>
      </c>
      <c r="D40" s="4">
        <f>C_High!K40</f>
        <v>8.7917270832338321</v>
      </c>
      <c r="E40" s="4">
        <f>C_Low!L40</f>
        <v>0.11830272665595029</v>
      </c>
      <c r="F40" s="4">
        <f>'Table 7'!F40</f>
        <v>0.6193608806896399</v>
      </c>
      <c r="G40" s="4">
        <f>C_High!L40</f>
        <v>1.2851363101837556</v>
      </c>
      <c r="H40" s="4">
        <f>C_Low!M40</f>
        <v>0.36430820282229653</v>
      </c>
      <c r="I40" s="4">
        <f>'Table 7'!G40</f>
        <v>1.907295425224492</v>
      </c>
      <c r="J40" s="4">
        <f>C_High!M40</f>
        <v>3.9575224745774955</v>
      </c>
    </row>
    <row r="41" spans="1:10" ht="15.75" customHeight="1" x14ac:dyDescent="0.15">
      <c r="A41" t="s">
        <v>156</v>
      </c>
      <c r="B41" s="4">
        <f>C_Low!K41</f>
        <v>0.8510091745007381</v>
      </c>
      <c r="C41" s="4">
        <f>'Table 7'!E41</f>
        <v>4.5738306331686243</v>
      </c>
      <c r="D41" s="4">
        <f>C_High!K41</f>
        <v>9.3073849217492945</v>
      </c>
      <c r="E41" s="4">
        <f>C_Low!L41</f>
        <v>0.12439680851058948</v>
      </c>
      <c r="F41" s="4">
        <f>'Table 7'!F41</f>
        <v>0.66858260813456383</v>
      </c>
      <c r="G41" s="4">
        <f>C_High!L41</f>
        <v>1.360512923405846</v>
      </c>
      <c r="H41" s="4">
        <f>C_Low!M41</f>
        <v>0.38307466806846263</v>
      </c>
      <c r="I41" s="4">
        <f>'Table 7'!G41</f>
        <v>2.0588716362903527</v>
      </c>
      <c r="J41" s="4">
        <f>C_High!M41</f>
        <v>4.1896415412633514</v>
      </c>
    </row>
    <row r="42" spans="1:10" ht="15.75" customHeight="1" x14ac:dyDescent="0.15">
      <c r="A42" t="s">
        <v>157</v>
      </c>
      <c r="B42" s="4">
        <f>C_Low!K42</f>
        <v>0.97443181495277142</v>
      </c>
      <c r="C42" s="4">
        <f>'Table 7'!E42</f>
        <v>5.103728511019578</v>
      </c>
      <c r="D42" s="4">
        <f>C_High!K42</f>
        <v>10.573088735665991</v>
      </c>
      <c r="E42" s="4">
        <f>C_Low!L42</f>
        <v>0.14243819164748728</v>
      </c>
      <c r="F42" s="4">
        <f>'Table 7'!F42</f>
        <v>0.74604076818303189</v>
      </c>
      <c r="G42" s="4">
        <f>C_High!L42</f>
        <v>1.5455279851568418</v>
      </c>
      <c r="H42" s="4">
        <f>C_Low!M42</f>
        <v>0.43863233823228159</v>
      </c>
      <c r="I42" s="4">
        <f>'Table 7'!G42</f>
        <v>2.2974007376799181</v>
      </c>
      <c r="J42" s="4">
        <f>C_High!M42</f>
        <v>4.7593875356864768</v>
      </c>
    </row>
    <row r="43" spans="1:10" ht="15.75" customHeight="1" x14ac:dyDescent="0.15">
      <c r="A43" t="s">
        <v>158</v>
      </c>
      <c r="B43" s="4">
        <f>C_Low!K43</f>
        <v>1.04478747588195</v>
      </c>
      <c r="C43" s="4">
        <f>'Table 7'!E43</f>
        <v>5.7738717544963771</v>
      </c>
      <c r="D43" s="4">
        <f>C_High!K43</f>
        <v>12.226245068785136</v>
      </c>
      <c r="E43" s="4">
        <f>C_Low!L43</f>
        <v>0.15272247522806975</v>
      </c>
      <c r="F43" s="4">
        <f>'Table 7'!F43</f>
        <v>0.84399938394337981</v>
      </c>
      <c r="G43" s="4">
        <f>C_High!L43</f>
        <v>1.7871791658620768</v>
      </c>
      <c r="H43" s="4">
        <f>C_Low!M43</f>
        <v>0.47030235104147838</v>
      </c>
      <c r="I43" s="4">
        <f>'Table 7'!G43</f>
        <v>2.5990601183837803</v>
      </c>
      <c r="J43" s="4">
        <f>C_High!M43</f>
        <v>5.5035420437109304</v>
      </c>
    </row>
    <row r="44" spans="1:10" ht="15.75" customHeight="1" x14ac:dyDescent="0.15">
      <c r="A44" t="s">
        <v>159</v>
      </c>
      <c r="B44" s="4">
        <f>C_Low!K44</f>
        <v>1.04478747588195</v>
      </c>
      <c r="C44" s="4">
        <f>'Table 7'!E44</f>
        <v>5.7738717544963771</v>
      </c>
      <c r="D44" s="4">
        <f>C_High!K44</f>
        <v>12.266127709458956</v>
      </c>
      <c r="E44" s="4">
        <f>C_Low!L44</f>
        <v>0.15272247522806975</v>
      </c>
      <c r="F44" s="4">
        <f>'Table 7'!F44</f>
        <v>0.84399938394337981</v>
      </c>
      <c r="G44" s="4">
        <f>C_High!L44</f>
        <v>1.7930090362835189</v>
      </c>
      <c r="H44" s="4">
        <f>C_Low!M44</f>
        <v>0.47030235104147838</v>
      </c>
      <c r="I44" s="4">
        <f>'Table 7'!G44</f>
        <v>2.5990601183837803</v>
      </c>
      <c r="J44" s="4">
        <f>C_High!M44</f>
        <v>5.5214948811133953</v>
      </c>
    </row>
    <row r="45" spans="1:10" ht="15.75" customHeight="1" x14ac:dyDescent="0.15">
      <c r="A45" t="s">
        <v>161</v>
      </c>
      <c r="B45" s="4">
        <f>C_Low!K45</f>
        <v>0.45412226807525824</v>
      </c>
      <c r="C45" s="4">
        <f>'Table 7'!E45</f>
        <v>2.3781047185328856</v>
      </c>
      <c r="D45" s="4">
        <f>C_High!K45</f>
        <v>5.0169711755616122</v>
      </c>
      <c r="E45" s="4">
        <f>C_Low!L45</f>
        <v>6.6381611990604328E-2</v>
      </c>
      <c r="F45" s="4">
        <f>'Table 7'!F45</f>
        <v>0.34762097302067113</v>
      </c>
      <c r="G45" s="4">
        <f>C_High!L45</f>
        <v>0.73335895937387885</v>
      </c>
      <c r="H45" s="4">
        <f>C_Low!M45</f>
        <v>0.20441934390129898</v>
      </c>
      <c r="I45" s="4">
        <f>'Table 7'!G45</f>
        <v>1.0704839653679195</v>
      </c>
      <c r="J45" s="4">
        <f>C_High!M45</f>
        <v>2.2583476481494063</v>
      </c>
    </row>
    <row r="46" spans="1:10" ht="15.75" customHeight="1" x14ac:dyDescent="0.15">
      <c r="A46" t="s">
        <v>162</v>
      </c>
      <c r="B46" s="4">
        <f>C_Low!K46</f>
        <v>0.46527676797758472</v>
      </c>
      <c r="C46" s="4">
        <f>'Table 7'!E46</f>
        <v>2.4247567467420148</v>
      </c>
      <c r="D46" s="4">
        <f>C_High!K46</f>
        <v>4.9513279094339495</v>
      </c>
      <c r="E46" s="4">
        <f>C_Low!L46</f>
        <v>6.8012128123635607E-2</v>
      </c>
      <c r="F46" s="4">
        <f>'Table 7'!F46</f>
        <v>0.3544403629798526</v>
      </c>
      <c r="G46" s="4">
        <f>C_High!L46</f>
        <v>0.723763513107059</v>
      </c>
      <c r="H46" s="4">
        <f>C_Low!M46</f>
        <v>0.20944044881483914</v>
      </c>
      <c r="I46" s="4">
        <f>'Table 7'!G46</f>
        <v>1.0914839859980345</v>
      </c>
      <c r="J46" s="4">
        <f>C_High!M46</f>
        <v>2.2287988804789087</v>
      </c>
    </row>
    <row r="47" spans="1:10" ht="15.75" customHeight="1" x14ac:dyDescent="0.15">
      <c r="A47" t="s">
        <v>163</v>
      </c>
      <c r="B47" s="4">
        <f>C_Low!K47</f>
        <v>0.46032653282769787</v>
      </c>
      <c r="C47" s="4">
        <f>'Table 7'!E47</f>
        <v>2.410399120031784</v>
      </c>
      <c r="D47" s="4">
        <f>C_High!K47</f>
        <v>4.9163318486672516</v>
      </c>
      <c r="E47" s="4">
        <f>C_Low!L47</f>
        <v>6.7288524345351874E-2</v>
      </c>
      <c r="F47" s="4">
        <f>'Table 7'!F47</f>
        <v>0.35234162774402283</v>
      </c>
      <c r="G47" s="4">
        <f>C_High!L47</f>
        <v>0.71864794161821577</v>
      </c>
      <c r="H47" s="4">
        <f>C_Low!M47</f>
        <v>0.20721214183093825</v>
      </c>
      <c r="I47" s="4">
        <f>'Table 7'!G47</f>
        <v>1.0850210203202566</v>
      </c>
      <c r="J47" s="4">
        <f>C_High!M47</f>
        <v>2.2130456961847771</v>
      </c>
    </row>
    <row r="48" spans="1:10" ht="15.75" customHeight="1" x14ac:dyDescent="0.15">
      <c r="A48" t="s">
        <v>164</v>
      </c>
      <c r="B48" s="4">
        <f>C_Low!K48</f>
        <v>0.4901497038503157</v>
      </c>
      <c r="C48" s="4">
        <f>'Table 7'!E48</f>
        <v>2.5335250443443784</v>
      </c>
      <c r="D48" s="4">
        <f>C_High!K48</f>
        <v>5.2852513170456348</v>
      </c>
      <c r="E48" s="4">
        <f>C_Low!L48</f>
        <v>7.1647945378686378E-2</v>
      </c>
      <c r="F48" s="4">
        <f>'Table 7'!F48</f>
        <v>0.37033963821011312</v>
      </c>
      <c r="G48" s="4">
        <f>C_High!L48</f>
        <v>0.77257498005539604</v>
      </c>
      <c r="H48" s="4">
        <f>C_Low!M48</f>
        <v>0.22063679303630362</v>
      </c>
      <c r="I48" s="4">
        <f>'Table 7'!G48</f>
        <v>1.140445126193546</v>
      </c>
      <c r="J48" s="4">
        <f>C_High!M48</f>
        <v>2.3791117118372567</v>
      </c>
    </row>
    <row r="49" spans="1:10" ht="15.75" customHeight="1" x14ac:dyDescent="0.15">
      <c r="A49" t="s">
        <v>165</v>
      </c>
      <c r="B49" s="4">
        <f>C_Low!K49</f>
        <v>0.55404587017564566</v>
      </c>
      <c r="C49" s="4">
        <f>'Table 7'!E49</f>
        <v>2.9446427840869562</v>
      </c>
      <c r="D49" s="4">
        <f>C_High!K49</f>
        <v>6.1005931075236957</v>
      </c>
      <c r="E49" s="4">
        <f>C_Low!L49</f>
        <v>8.0988008218309676E-2</v>
      </c>
      <c r="F49" s="4">
        <f>'Table 7'!F49</f>
        <v>0.43043503586086956</v>
      </c>
      <c r="G49" s="4">
        <f>C_High!L49</f>
        <v>0.89175808597230233</v>
      </c>
      <c r="H49" s="4">
        <f>C_Low!M49</f>
        <v>0.24939911833119011</v>
      </c>
      <c r="I49" s="4">
        <f>'Table 7'!G49</f>
        <v>1.3255063410521741</v>
      </c>
      <c r="J49" s="4">
        <f>C_High!M49</f>
        <v>2.7461310050581171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56"/>
  <sheetViews>
    <sheetView zoomScaleNormal="100" workbookViewId="0"/>
  </sheetViews>
  <sheetFormatPr baseColWidth="10" defaultColWidth="14.5" defaultRowHeight="15" customHeight="1" x14ac:dyDescent="0.15"/>
  <cols>
    <col min="1" max="8" width="14.5" customWidth="1"/>
  </cols>
  <sheetData>
    <row r="1" spans="1:8" ht="15" customHeight="1" x14ac:dyDescent="0.15">
      <c r="A1" s="1" t="s">
        <v>223</v>
      </c>
    </row>
    <row r="2" spans="1:8" ht="15" customHeight="1" x14ac:dyDescent="0.15">
      <c r="A2" s="1" t="s">
        <v>167</v>
      </c>
      <c r="B2" s="1" t="s">
        <v>224</v>
      </c>
      <c r="C2" s="1" t="s">
        <v>225</v>
      </c>
      <c r="D2" s="1" t="s">
        <v>226</v>
      </c>
      <c r="E2" s="1" t="s">
        <v>227</v>
      </c>
      <c r="F2" s="1" t="s">
        <v>228</v>
      </c>
      <c r="G2" s="1" t="s">
        <v>229</v>
      </c>
      <c r="H2" s="1" t="s">
        <v>230</v>
      </c>
    </row>
    <row r="3" spans="1:8" ht="15" customHeight="1" x14ac:dyDescent="0.15">
      <c r="A3" t="s">
        <v>105</v>
      </c>
      <c r="B3" s="2">
        <f>LN(Assumptions!$B$12/Assumptions!$B$11)</f>
        <v>1.0262916270884836</v>
      </c>
      <c r="C3" s="2">
        <f>IF(Corpus!R3="5x",LN(Assumptions!$B$14/Assumptions!$B$13),0)</f>
        <v>0</v>
      </c>
      <c r="D3" s="2">
        <f>LN(Assumptions!$B$16/Assumptions!$B$15)</f>
        <v>8.0852096629094969E-2</v>
      </c>
      <c r="E3" s="2">
        <f>LN(Bootstrap!E3/Bootstrap!D3)</f>
        <v>0.289095622572481</v>
      </c>
      <c r="F3" s="2">
        <f>IF(Corpus!Q3="None",0,LN(Bootstrap!L3/Bootstrap!K3))</f>
        <v>0</v>
      </c>
      <c r="G3" s="2">
        <f t="shared" ref="G3:G49" si="0">SUM(B3:F3)</f>
        <v>1.3962393462900595</v>
      </c>
      <c r="H3" s="4">
        <f t="shared" ref="H3:H49" si="1">EXP(G3)</f>
        <v>4.0399784034984076</v>
      </c>
    </row>
    <row r="4" spans="1:8" ht="15" customHeight="1" x14ac:dyDescent="0.15">
      <c r="A4" t="s">
        <v>108</v>
      </c>
      <c r="B4" s="2">
        <f>LN(Assumptions!$B$12/Assumptions!$B$11)</f>
        <v>1.0262916270884836</v>
      </c>
      <c r="C4" s="2">
        <f>IF(Corpus!R4="5x",LN(Assumptions!$B$14/Assumptions!$B$13),0)</f>
        <v>1.0269203602119932</v>
      </c>
      <c r="D4" s="2">
        <f>LN(Assumptions!$B$16/Assumptions!$B$15)</f>
        <v>8.0852096629094969E-2</v>
      </c>
      <c r="E4" s="2">
        <f>LN(Bootstrap!E4/Bootstrap!D4)</f>
        <v>0.23829823936998992</v>
      </c>
      <c r="F4" s="2">
        <f>IF(Corpus!Q4="None",0,LN(Bootstrap!L4/Bootstrap!K4))</f>
        <v>0</v>
      </c>
      <c r="G4" s="2">
        <f t="shared" si="0"/>
        <v>2.3723623232995621</v>
      </c>
      <c r="H4" s="4">
        <f t="shared" si="1"/>
        <v>10.722692855446974</v>
      </c>
    </row>
    <row r="5" spans="1:8" ht="15" customHeight="1" x14ac:dyDescent="0.15">
      <c r="A5" t="s">
        <v>111</v>
      </c>
      <c r="B5" s="2">
        <f>LN(Assumptions!$B$12/Assumptions!$B$11)</f>
        <v>1.0262916270884836</v>
      </c>
      <c r="C5" s="2">
        <f>IF(Corpus!R5="5x",LN(Assumptions!$B$14/Assumptions!$B$13),0)</f>
        <v>1.0269203602119932</v>
      </c>
      <c r="D5" s="2">
        <f>LN(Assumptions!$B$16/Assumptions!$B$15)</f>
        <v>8.0852096629094969E-2</v>
      </c>
      <c r="E5" s="2">
        <f>LN(Bootstrap!E5/Bootstrap!D5)</f>
        <v>0.24178452804769379</v>
      </c>
      <c r="F5" s="2">
        <f>IF(Corpus!Q5="None",0,LN(Bootstrap!L5/Bootstrap!K5))</f>
        <v>6.2866172384781191E-2</v>
      </c>
      <c r="G5" s="2">
        <f t="shared" si="0"/>
        <v>2.4387147843620469</v>
      </c>
      <c r="H5" s="4">
        <f t="shared" si="1"/>
        <v>11.458304882824523</v>
      </c>
    </row>
    <row r="6" spans="1:8" ht="15" customHeight="1" x14ac:dyDescent="0.15">
      <c r="A6" t="s">
        <v>113</v>
      </c>
      <c r="B6" s="2">
        <f>LN(Assumptions!$B$12/Assumptions!$B$11)</f>
        <v>1.0262916270884836</v>
      </c>
      <c r="C6" s="2">
        <f>IF(Corpus!R6="5x",LN(Assumptions!$B$14/Assumptions!$B$13),0)</f>
        <v>1.0269203602119932</v>
      </c>
      <c r="D6" s="2">
        <f>LN(Assumptions!$B$16/Assumptions!$B$15)</f>
        <v>8.0852096629094969E-2</v>
      </c>
      <c r="E6" s="2">
        <f>LN(Bootstrap!E6/Bootstrap!D6)</f>
        <v>0.23877531535238386</v>
      </c>
      <c r="F6" s="2">
        <f>IF(Corpus!Q6="None",0,LN(Bootstrap!L6/Bootstrap!K6))</f>
        <v>0.16432012327529749</v>
      </c>
      <c r="G6" s="2">
        <f t="shared" si="0"/>
        <v>2.5371595225572534</v>
      </c>
      <c r="H6" s="4">
        <f t="shared" si="1"/>
        <v>12.643705754833706</v>
      </c>
    </row>
    <row r="7" spans="1:8" ht="15" customHeight="1" x14ac:dyDescent="0.15">
      <c r="A7" t="s">
        <v>115</v>
      </c>
      <c r="B7" s="2">
        <f>LN(Assumptions!$B$12/Assumptions!$B$11)</f>
        <v>1.0262916270884836</v>
      </c>
      <c r="C7" s="2">
        <f>IF(Corpus!R7="5x",LN(Assumptions!$B$14/Assumptions!$B$13),0)</f>
        <v>1.0269203602119932</v>
      </c>
      <c r="D7" s="2">
        <f>LN(Assumptions!$B$16/Assumptions!$B$15)</f>
        <v>8.0852096629094969E-2</v>
      </c>
      <c r="E7" s="2">
        <f>LN(Bootstrap!E7/Bootstrap!D7)</f>
        <v>0.23206557691773017</v>
      </c>
      <c r="F7" s="2">
        <f>IF(Corpus!Q7="None",0,LN(Bootstrap!L7/Bootstrap!K7))</f>
        <v>0.10784952905706</v>
      </c>
      <c r="G7" s="2">
        <f t="shared" si="0"/>
        <v>2.4739791899043619</v>
      </c>
      <c r="H7" s="4">
        <f t="shared" si="1"/>
        <v>11.869584335104729</v>
      </c>
    </row>
    <row r="8" spans="1:8" ht="15" customHeight="1" x14ac:dyDescent="0.15">
      <c r="A8" t="s">
        <v>117</v>
      </c>
      <c r="B8" s="2">
        <f>LN(Assumptions!$B$12/Assumptions!$B$11)</f>
        <v>1.0262916270884836</v>
      </c>
      <c r="C8" s="2">
        <f>IF(Corpus!R8="5x",LN(Assumptions!$B$14/Assumptions!$B$13),0)</f>
        <v>1.0269203602119932</v>
      </c>
      <c r="D8" s="2">
        <f>LN(Assumptions!$B$16/Assumptions!$B$15)</f>
        <v>8.0852096629094969E-2</v>
      </c>
      <c r="E8" s="2">
        <f>LN(Bootstrap!E8/Bootstrap!D8)</f>
        <v>0.23586232372198446</v>
      </c>
      <c r="F8" s="2">
        <f>IF(Corpus!Q8="None",0,LN(Bootstrap!L8/Bootstrap!K8))</f>
        <v>0.13482973278650304</v>
      </c>
      <c r="G8" s="2">
        <f t="shared" si="0"/>
        <v>2.5047561404380594</v>
      </c>
      <c r="H8" s="4">
        <f t="shared" si="1"/>
        <v>12.240573620892278</v>
      </c>
    </row>
    <row r="9" spans="1:8" ht="15" customHeight="1" x14ac:dyDescent="0.15">
      <c r="A9" t="s">
        <v>119</v>
      </c>
      <c r="B9" s="2">
        <f>LN(Assumptions!$B$12/Assumptions!$B$11)</f>
        <v>1.0262916270884836</v>
      </c>
      <c r="C9" s="2">
        <f>IF(Corpus!R9="5x",LN(Assumptions!$B$14/Assumptions!$B$13),0)</f>
        <v>1.0269203602119932</v>
      </c>
      <c r="D9" s="2">
        <f>LN(Assumptions!$B$16/Assumptions!$B$15)</f>
        <v>8.0852096629094969E-2</v>
      </c>
      <c r="E9" s="2">
        <f>LN(Bootstrap!E9/Bootstrap!D9)</f>
        <v>0.21568343715691257</v>
      </c>
      <c r="F9" s="2">
        <f>IF(Corpus!Q9="None",0,LN(Bootstrap!L9/Bootstrap!K9))</f>
        <v>0</v>
      </c>
      <c r="G9" s="2">
        <f t="shared" si="0"/>
        <v>2.3497475210864849</v>
      </c>
      <c r="H9" s="4">
        <f t="shared" si="1"/>
        <v>10.48292267365224</v>
      </c>
    </row>
    <row r="10" spans="1:8" ht="15" customHeight="1" x14ac:dyDescent="0.15">
      <c r="A10" t="s">
        <v>121</v>
      </c>
      <c r="B10" s="2">
        <f>LN(Assumptions!$B$12/Assumptions!$B$11)</f>
        <v>1.0262916270884836</v>
      </c>
      <c r="C10" s="2">
        <f>IF(Corpus!R10="5x",LN(Assumptions!$B$14/Assumptions!$B$13),0)</f>
        <v>1.0269203602119932</v>
      </c>
      <c r="D10" s="2">
        <f>LN(Assumptions!$B$16/Assumptions!$B$15)</f>
        <v>8.0852096629094969E-2</v>
      </c>
      <c r="E10" s="2">
        <f>LN(Bootstrap!E10/Bootstrap!D10)</f>
        <v>0.21781294128555279</v>
      </c>
      <c r="F10" s="2">
        <f>IF(Corpus!Q10="None",0,LN(Bootstrap!L10/Bootstrap!K10))</f>
        <v>5.3652713492320217E-2</v>
      </c>
      <c r="G10" s="2">
        <f t="shared" si="0"/>
        <v>2.4055297387074455</v>
      </c>
      <c r="H10" s="4">
        <f t="shared" si="1"/>
        <v>11.084300510230866</v>
      </c>
    </row>
    <row r="11" spans="1:8" ht="15" customHeight="1" x14ac:dyDescent="0.15">
      <c r="A11" t="s">
        <v>122</v>
      </c>
      <c r="B11" s="2">
        <f>LN(Assumptions!$B$12/Assumptions!$B$11)</f>
        <v>1.0262916270884836</v>
      </c>
      <c r="C11" s="2">
        <f>IF(Corpus!R11="5x",LN(Assumptions!$B$14/Assumptions!$B$13),0)</f>
        <v>1.0269203602119932</v>
      </c>
      <c r="D11" s="2">
        <f>LN(Assumptions!$B$16/Assumptions!$B$15)</f>
        <v>8.0852096629094969E-2</v>
      </c>
      <c r="E11" s="2">
        <f>LN(Bootstrap!E11/Bootstrap!D11)</f>
        <v>0.21345013344407204</v>
      </c>
      <c r="F11" s="2">
        <f>IF(Corpus!Q11="None",0,LN(Bootstrap!L11/Bootstrap!K11))</f>
        <v>3.2501235782481284E-2</v>
      </c>
      <c r="G11" s="2">
        <f t="shared" si="0"/>
        <v>2.3800154531561257</v>
      </c>
      <c r="H11" s="4">
        <f t="shared" si="1"/>
        <v>10.805069835072251</v>
      </c>
    </row>
    <row r="12" spans="1:8" ht="15" customHeight="1" x14ac:dyDescent="0.15">
      <c r="A12" t="s">
        <v>123</v>
      </c>
      <c r="B12" s="2">
        <f>LN(Assumptions!$B$12/Assumptions!$B$11)</f>
        <v>1.0262916270884836</v>
      </c>
      <c r="C12" s="2">
        <f>IF(Corpus!R12="5x",LN(Assumptions!$B$14/Assumptions!$B$13),0)</f>
        <v>1.0269203602119932</v>
      </c>
      <c r="D12" s="2">
        <f>LN(Assumptions!$B$16/Assumptions!$B$15)</f>
        <v>8.0852096629094969E-2</v>
      </c>
      <c r="E12" s="2">
        <f>LN(Bootstrap!E12/Bootstrap!D12)</f>
        <v>0.20213508333209224</v>
      </c>
      <c r="F12" s="2">
        <f>IF(Corpus!Q12="None",0,LN(Bootstrap!L12/Bootstrap!K12))</f>
        <v>4.3811508611626263E-2</v>
      </c>
      <c r="G12" s="2">
        <f t="shared" si="0"/>
        <v>2.3800106758732906</v>
      </c>
      <c r="H12" s="4">
        <f t="shared" si="1"/>
        <v>10.805018216320894</v>
      </c>
    </row>
    <row r="13" spans="1:8" ht="15" customHeight="1" x14ac:dyDescent="0.15">
      <c r="A13" t="s">
        <v>124</v>
      </c>
      <c r="B13" s="2">
        <f>LN(Assumptions!$B$12/Assumptions!$B$11)</f>
        <v>1.0262916270884836</v>
      </c>
      <c r="C13" s="2">
        <f>IF(Corpus!R13="5x",LN(Assumptions!$B$14/Assumptions!$B$13),0)</f>
        <v>1.0269203602119932</v>
      </c>
      <c r="D13" s="2">
        <f>LN(Assumptions!$B$16/Assumptions!$B$15)</f>
        <v>8.0852096629094969E-2</v>
      </c>
      <c r="E13" s="2">
        <f>LN(Bootstrap!E13/Bootstrap!D13)</f>
        <v>0.21342478193610281</v>
      </c>
      <c r="F13" s="2">
        <f>IF(Corpus!Q13="None",0,LN(Bootstrap!L13/Bootstrap!K13))</f>
        <v>9.885472032667314E-2</v>
      </c>
      <c r="G13" s="2">
        <f t="shared" si="0"/>
        <v>2.4463435861923482</v>
      </c>
      <c r="H13" s="4">
        <f t="shared" si="1"/>
        <v>11.546052298344383</v>
      </c>
    </row>
    <row r="14" spans="1:8" ht="15" customHeight="1" x14ac:dyDescent="0.15">
      <c r="A14" t="s">
        <v>125</v>
      </c>
      <c r="B14" s="2">
        <f>LN(Assumptions!$B$12/Assumptions!$B$11)</f>
        <v>1.0262916270884836</v>
      </c>
      <c r="C14" s="2">
        <f>IF(Corpus!R14="5x",LN(Assumptions!$B$14/Assumptions!$B$13),0)</f>
        <v>1.0269203602119932</v>
      </c>
      <c r="D14" s="2">
        <f>LN(Assumptions!$B$16/Assumptions!$B$15)</f>
        <v>8.0852096629094969E-2</v>
      </c>
      <c r="E14" s="2">
        <f>LN(Bootstrap!E14/Bootstrap!D14)</f>
        <v>0.22291915997477393</v>
      </c>
      <c r="F14" s="2">
        <f>IF(Corpus!Q14="None",0,LN(Bootstrap!L14/Bootstrap!K14))</f>
        <v>0</v>
      </c>
      <c r="G14" s="2">
        <f t="shared" si="0"/>
        <v>2.3569832439043461</v>
      </c>
      <c r="H14" s="4">
        <f t="shared" si="1"/>
        <v>10.559049279812387</v>
      </c>
    </row>
    <row r="15" spans="1:8" ht="15" customHeight="1" x14ac:dyDescent="0.15">
      <c r="A15" t="s">
        <v>127</v>
      </c>
      <c r="B15" s="2">
        <f>LN(Assumptions!$B$12/Assumptions!$B$11)</f>
        <v>1.0262916270884836</v>
      </c>
      <c r="C15" s="2">
        <f>IF(Corpus!R15="5x",LN(Assumptions!$B$14/Assumptions!$B$13),0)</f>
        <v>1.0269203602119932</v>
      </c>
      <c r="D15" s="2">
        <f>LN(Assumptions!$B$16/Assumptions!$B$15)</f>
        <v>8.0852096629094969E-2</v>
      </c>
      <c r="E15" s="2">
        <f>LN(Bootstrap!E15/Bootstrap!D15)</f>
        <v>0.22787043338860696</v>
      </c>
      <c r="F15" s="2">
        <f>IF(Corpus!Q15="None",0,LN(Bootstrap!L15/Bootstrap!K15))</f>
        <v>2.9891634692933364E-2</v>
      </c>
      <c r="G15" s="2">
        <f t="shared" si="0"/>
        <v>2.3918261520111126</v>
      </c>
      <c r="H15" s="4">
        <f t="shared" si="1"/>
        <v>10.93344185036629</v>
      </c>
    </row>
    <row r="16" spans="1:8" ht="15" customHeight="1" x14ac:dyDescent="0.15">
      <c r="A16" t="s">
        <v>128</v>
      </c>
      <c r="B16" s="2">
        <f>LN(Assumptions!$B$12/Assumptions!$B$11)</f>
        <v>1.0262916270884836</v>
      </c>
      <c r="C16" s="2">
        <f>IF(Corpus!R16="5x",LN(Assumptions!$B$14/Assumptions!$B$13),0)</f>
        <v>1.0269203602119932</v>
      </c>
      <c r="D16" s="2">
        <f>LN(Assumptions!$B$16/Assumptions!$B$15)</f>
        <v>8.0852096629094969E-2</v>
      </c>
      <c r="E16" s="2">
        <f>LN(Bootstrap!E16/Bootstrap!D16)</f>
        <v>0.20973555423054641</v>
      </c>
      <c r="F16" s="2">
        <f>IF(Corpus!Q16="None",0,LN(Bootstrap!L16/Bootstrap!K16))</f>
        <v>3.217060645589364E-2</v>
      </c>
      <c r="G16" s="2">
        <f t="shared" si="0"/>
        <v>2.3759702446160125</v>
      </c>
      <c r="H16" s="4">
        <f t="shared" si="1"/>
        <v>10.761449360739268</v>
      </c>
    </row>
    <row r="17" spans="1:8" ht="15" customHeight="1" x14ac:dyDescent="0.15">
      <c r="A17" t="s">
        <v>129</v>
      </c>
      <c r="B17" s="2">
        <f>LN(Assumptions!$B$12/Assumptions!$B$11)</f>
        <v>1.0262916270884836</v>
      </c>
      <c r="C17" s="2">
        <f>IF(Corpus!R17="5x",LN(Assumptions!$B$14/Assumptions!$B$13),0)</f>
        <v>1.0269203602119932</v>
      </c>
      <c r="D17" s="2">
        <f>LN(Assumptions!$B$16/Assumptions!$B$15)</f>
        <v>8.0852096629094969E-2</v>
      </c>
      <c r="E17" s="2">
        <f>LN(Bootstrap!E17/Bootstrap!D17)</f>
        <v>0.23068067831144554</v>
      </c>
      <c r="F17" s="2">
        <f>IF(Corpus!Q17="None",0,LN(Bootstrap!L17/Bootstrap!K17))</f>
        <v>5.7888158433006279E-2</v>
      </c>
      <c r="G17" s="2">
        <f t="shared" si="0"/>
        <v>2.4226329206740242</v>
      </c>
      <c r="H17" s="4">
        <f t="shared" si="1"/>
        <v>11.275507784275575</v>
      </c>
    </row>
    <row r="18" spans="1:8" ht="15" customHeight="1" x14ac:dyDescent="0.15">
      <c r="A18" t="s">
        <v>130</v>
      </c>
      <c r="B18" s="2">
        <f>LN(Assumptions!$B$12/Assumptions!$B$11)</f>
        <v>1.0262916270884836</v>
      </c>
      <c r="C18" s="2">
        <f>IF(Corpus!R18="5x",LN(Assumptions!$B$14/Assumptions!$B$13),0)</f>
        <v>1.0269203602119932</v>
      </c>
      <c r="D18" s="2">
        <f>LN(Assumptions!$B$16/Assumptions!$B$15)</f>
        <v>8.0852096629094969E-2</v>
      </c>
      <c r="E18" s="2">
        <f>LN(Bootstrap!E18/Bootstrap!D18)</f>
        <v>0.23856938324215679</v>
      </c>
      <c r="F18" s="2">
        <f>IF(Corpus!Q18="None",0,LN(Bootstrap!L18/Bootstrap!K18))</f>
        <v>6.3880478497422163E-2</v>
      </c>
      <c r="G18" s="2">
        <f t="shared" si="0"/>
        <v>2.4365139456691511</v>
      </c>
      <c r="H18" s="4">
        <f t="shared" si="1"/>
        <v>11.43311473198051</v>
      </c>
    </row>
    <row r="19" spans="1:8" ht="15" customHeight="1" x14ac:dyDescent="0.15">
      <c r="A19" t="s">
        <v>131</v>
      </c>
      <c r="B19" s="2">
        <f>LN(Assumptions!$B$12/Assumptions!$B$11)</f>
        <v>1.0262916270884836</v>
      </c>
      <c r="C19" s="2">
        <f>IF(Corpus!R19="5x",LN(Assumptions!$B$14/Assumptions!$B$13),0)</f>
        <v>1.0269203602119932</v>
      </c>
      <c r="D19" s="2">
        <f>LN(Assumptions!$B$16/Assumptions!$B$15)</f>
        <v>8.0852096629094969E-2</v>
      </c>
      <c r="E19" s="2">
        <f>LN(Bootstrap!E19/Bootstrap!D19)</f>
        <v>0.21179645150874662</v>
      </c>
      <c r="F19" s="2">
        <f>IF(Corpus!Q19="None",0,LN(Bootstrap!L19/Bootstrap!K19))</f>
        <v>0</v>
      </c>
      <c r="G19" s="2">
        <f t="shared" si="0"/>
        <v>2.3458605354383186</v>
      </c>
      <c r="H19" s="4">
        <f t="shared" si="1"/>
        <v>10.442254792606976</v>
      </c>
    </row>
    <row r="20" spans="1:8" ht="15" customHeight="1" x14ac:dyDescent="0.15">
      <c r="A20" t="s">
        <v>133</v>
      </c>
      <c r="B20" s="2">
        <f>LN(Assumptions!$B$12/Assumptions!$B$11)</f>
        <v>1.0262916270884836</v>
      </c>
      <c r="C20" s="2">
        <f>IF(Corpus!R20="5x",LN(Assumptions!$B$14/Assumptions!$B$13),0)</f>
        <v>1.0269203602119932</v>
      </c>
      <c r="D20" s="2">
        <f>LN(Assumptions!$B$16/Assumptions!$B$15)</f>
        <v>8.0852096629094969E-2</v>
      </c>
      <c r="E20" s="2">
        <f>LN(Bootstrap!E20/Bootstrap!D20)</f>
        <v>0.20817956466533435</v>
      </c>
      <c r="F20" s="2">
        <f>IF(Corpus!Q20="None",0,LN(Bootstrap!L20/Bootstrap!K20))</f>
        <v>3.8635710025087665E-2</v>
      </c>
      <c r="G20" s="2">
        <f t="shared" si="0"/>
        <v>2.3808793586199943</v>
      </c>
      <c r="H20" s="4">
        <f t="shared" si="1"/>
        <v>10.814408427189822</v>
      </c>
    </row>
    <row r="21" spans="1:8" ht="15.75" customHeight="1" x14ac:dyDescent="0.15">
      <c r="A21" t="s">
        <v>134</v>
      </c>
      <c r="B21" s="2">
        <f>LN(Assumptions!$B$12/Assumptions!$B$11)</f>
        <v>1.0262916270884836</v>
      </c>
      <c r="C21" s="2">
        <f>IF(Corpus!R21="5x",LN(Assumptions!$B$14/Assumptions!$B$13),0)</f>
        <v>1.0269203602119932</v>
      </c>
      <c r="D21" s="2">
        <f>LN(Assumptions!$B$16/Assumptions!$B$15)</f>
        <v>8.0852096629094969E-2</v>
      </c>
      <c r="E21" s="2">
        <f>LN(Bootstrap!E21/Bootstrap!D21)</f>
        <v>0.20974754863810904</v>
      </c>
      <c r="F21" s="2">
        <f>IF(Corpus!Q21="None",0,LN(Bootstrap!L21/Bootstrap!K21))</f>
        <v>0.10376969949726583</v>
      </c>
      <c r="G21" s="2">
        <f t="shared" si="0"/>
        <v>2.4475813320649467</v>
      </c>
      <c r="H21" s="4">
        <f t="shared" si="1"/>
        <v>11.56035222493338</v>
      </c>
    </row>
    <row r="22" spans="1:8" ht="15.75" customHeight="1" x14ac:dyDescent="0.15">
      <c r="A22" t="s">
        <v>135</v>
      </c>
      <c r="B22" s="2">
        <f>LN(Assumptions!$B$12/Assumptions!$B$11)</f>
        <v>1.0262916270884836</v>
      </c>
      <c r="C22" s="2">
        <f>IF(Corpus!R22="5x",LN(Assumptions!$B$14/Assumptions!$B$13),0)</f>
        <v>1.0269203602119932</v>
      </c>
      <c r="D22" s="2">
        <f>LN(Assumptions!$B$16/Assumptions!$B$15)</f>
        <v>8.0852096629094969E-2</v>
      </c>
      <c r="E22" s="2">
        <f>LN(Bootstrap!E22/Bootstrap!D22)</f>
        <v>0.20542014852356497</v>
      </c>
      <c r="F22" s="2">
        <f>IF(Corpus!Q22="None",0,LN(Bootstrap!L22/Bootstrap!K22))</f>
        <v>7.7618696790575606E-2</v>
      </c>
      <c r="G22" s="2">
        <f t="shared" si="0"/>
        <v>2.4171029292437129</v>
      </c>
      <c r="H22" s="4">
        <f t="shared" si="1"/>
        <v>11.213326412545474</v>
      </c>
    </row>
    <row r="23" spans="1:8" ht="15.75" customHeight="1" x14ac:dyDescent="0.15">
      <c r="A23" t="s">
        <v>136</v>
      </c>
      <c r="B23" s="2">
        <f>LN(Assumptions!$B$12/Assumptions!$B$11)</f>
        <v>1.0262916270884836</v>
      </c>
      <c r="C23" s="2">
        <f>IF(Corpus!R23="5x",LN(Assumptions!$B$14/Assumptions!$B$13),0)</f>
        <v>1.0269203602119932</v>
      </c>
      <c r="D23" s="2">
        <f>LN(Assumptions!$B$16/Assumptions!$B$15)</f>
        <v>8.0852096629094969E-2</v>
      </c>
      <c r="E23" s="2">
        <f>LN(Bootstrap!E23/Bootstrap!D23)</f>
        <v>0.32822836023813878</v>
      </c>
      <c r="F23" s="2">
        <f>IF(Corpus!Q23="None",0,LN(Bootstrap!L23/Bootstrap!K23))</f>
        <v>0.47685335385823557</v>
      </c>
      <c r="G23" s="2">
        <f t="shared" si="0"/>
        <v>2.9391457980259466</v>
      </c>
      <c r="H23" s="4">
        <f t="shared" si="1"/>
        <v>18.899695258107453</v>
      </c>
    </row>
    <row r="24" spans="1:8" ht="15.75" customHeight="1" x14ac:dyDescent="0.15">
      <c r="A24" t="s">
        <v>137</v>
      </c>
      <c r="B24" s="2">
        <f>LN(Assumptions!$B$12/Assumptions!$B$11)</f>
        <v>1.0262916270884836</v>
      </c>
      <c r="C24" s="2">
        <f>IF(Corpus!R24="5x",LN(Assumptions!$B$14/Assumptions!$B$13),0)</f>
        <v>1.0269203602119932</v>
      </c>
      <c r="D24" s="2">
        <f>LN(Assumptions!$B$16/Assumptions!$B$15)</f>
        <v>8.0852096629094969E-2</v>
      </c>
      <c r="E24" s="2">
        <f>LN(Bootstrap!E24/Bootstrap!D24)</f>
        <v>0.23381073482724635</v>
      </c>
      <c r="F24" s="2">
        <f>IF(Corpus!Q24="None",0,LN(Bootstrap!L24/Bootstrap!K24))</f>
        <v>0</v>
      </c>
      <c r="G24" s="2">
        <f t="shared" si="0"/>
        <v>2.3678748187568184</v>
      </c>
      <c r="H24" s="4">
        <f t="shared" si="1"/>
        <v>10.674682526400652</v>
      </c>
    </row>
    <row r="25" spans="1:8" ht="15.75" customHeight="1" x14ac:dyDescent="0.15">
      <c r="A25" t="s">
        <v>139</v>
      </c>
      <c r="B25" s="2">
        <f>LN(Assumptions!$B$12/Assumptions!$B$11)</f>
        <v>1.0262916270884836</v>
      </c>
      <c r="C25" s="2">
        <f>IF(Corpus!R25="5x",LN(Assumptions!$B$14/Assumptions!$B$13),0)</f>
        <v>1.0269203602119932</v>
      </c>
      <c r="D25" s="2">
        <f>LN(Assumptions!$B$16/Assumptions!$B$15)</f>
        <v>8.0852096629094969E-2</v>
      </c>
      <c r="E25" s="2">
        <f>LN(Bootstrap!E25/Bootstrap!D25)</f>
        <v>0.21137289562594871</v>
      </c>
      <c r="F25" s="2">
        <f>IF(Corpus!Q25="None",0,LN(Bootstrap!L25/Bootstrap!K25))</f>
        <v>2.234506934950228E-2</v>
      </c>
      <c r="G25" s="2">
        <f t="shared" si="0"/>
        <v>2.3677820489050232</v>
      </c>
      <c r="H25" s="4">
        <f t="shared" si="1"/>
        <v>10.673692283617765</v>
      </c>
    </row>
    <row r="26" spans="1:8" ht="15.75" customHeight="1" x14ac:dyDescent="0.15">
      <c r="A26" t="s">
        <v>140</v>
      </c>
      <c r="B26" s="2">
        <f>LN(Assumptions!$B$12/Assumptions!$B$11)</f>
        <v>1.0262916270884836</v>
      </c>
      <c r="C26" s="2">
        <f>IF(Corpus!R26="5x",LN(Assumptions!$B$14/Assumptions!$B$13),0)</f>
        <v>1.0269203602119932</v>
      </c>
      <c r="D26" s="2">
        <f>LN(Assumptions!$B$16/Assumptions!$B$15)</f>
        <v>8.0852096629094969E-2</v>
      </c>
      <c r="E26" s="2">
        <f>LN(Bootstrap!E26/Bootstrap!D26)</f>
        <v>0.23104298858733538</v>
      </c>
      <c r="F26" s="2">
        <f>IF(Corpus!Q26="None",0,LN(Bootstrap!L26/Bootstrap!K26))</f>
        <v>5.6330417230257127E-2</v>
      </c>
      <c r="G26" s="2">
        <f t="shared" si="0"/>
        <v>2.4214374897471647</v>
      </c>
      <c r="H26" s="4">
        <f t="shared" si="1"/>
        <v>11.262036747005729</v>
      </c>
    </row>
    <row r="27" spans="1:8" ht="15.75" customHeight="1" x14ac:dyDescent="0.15">
      <c r="A27" t="s">
        <v>141</v>
      </c>
      <c r="B27" s="2">
        <f>LN(Assumptions!$B$12/Assumptions!$B$11)</f>
        <v>1.0262916270884836</v>
      </c>
      <c r="C27" s="2">
        <f>IF(Corpus!R27="5x",LN(Assumptions!$B$14/Assumptions!$B$13),0)</f>
        <v>1.0269203602119932</v>
      </c>
      <c r="D27" s="2">
        <f>LN(Assumptions!$B$16/Assumptions!$B$15)</f>
        <v>8.0852096629094969E-2</v>
      </c>
      <c r="E27" s="2">
        <f>LN(Bootstrap!E27/Bootstrap!D27)</f>
        <v>0.21204726688257344</v>
      </c>
      <c r="F27" s="2">
        <f>IF(Corpus!Q27="None",0,LN(Bootstrap!L27/Bootstrap!K27))</f>
        <v>9.7041619905566118E-2</v>
      </c>
      <c r="G27" s="2">
        <f t="shared" si="0"/>
        <v>2.4431529707177115</v>
      </c>
      <c r="H27" s="4">
        <f t="shared" si="1"/>
        <v>11.509271992319142</v>
      </c>
    </row>
    <row r="28" spans="1:8" ht="15.75" customHeight="1" x14ac:dyDescent="0.15">
      <c r="A28" t="s">
        <v>142</v>
      </c>
      <c r="B28" s="2">
        <f>LN(Assumptions!$B$12/Assumptions!$B$11)</f>
        <v>1.0262916270884836</v>
      </c>
      <c r="C28" s="2">
        <f>IF(Corpus!R28="5x",LN(Assumptions!$B$14/Assumptions!$B$13),0)</f>
        <v>1.0269203602119932</v>
      </c>
      <c r="D28" s="2">
        <f>LN(Assumptions!$B$16/Assumptions!$B$15)</f>
        <v>8.0852096629094969E-2</v>
      </c>
      <c r="E28" s="2">
        <f>LN(Bootstrap!E28/Bootstrap!D28)</f>
        <v>0.21941816116210314</v>
      </c>
      <c r="F28" s="2">
        <f>IF(Corpus!Q28="None",0,LN(Bootstrap!L28/Bootstrap!K28))</f>
        <v>0.14295990427959984</v>
      </c>
      <c r="G28" s="2">
        <f t="shared" si="0"/>
        <v>2.4964421493712754</v>
      </c>
      <c r="H28" s="4">
        <f t="shared" si="1"/>
        <v>12.139227480383058</v>
      </c>
    </row>
    <row r="29" spans="1:8" ht="15.75" customHeight="1" x14ac:dyDescent="0.15">
      <c r="A29" t="s">
        <v>143</v>
      </c>
      <c r="B29" s="2">
        <f>LN(Assumptions!$B$12/Assumptions!$B$11)</f>
        <v>1.0262916270884836</v>
      </c>
      <c r="C29" s="2">
        <f>IF(Corpus!R29="5x",LN(Assumptions!$B$14/Assumptions!$B$13),0)</f>
        <v>1.0269203602119932</v>
      </c>
      <c r="D29" s="2">
        <f>LN(Assumptions!$B$16/Assumptions!$B$15)</f>
        <v>8.0852096629094969E-2</v>
      </c>
      <c r="E29" s="2">
        <f>LN(Bootstrap!E29/Bootstrap!D29)</f>
        <v>0.22388459981942888</v>
      </c>
      <c r="F29" s="2">
        <f>IF(Corpus!Q29="None",0,LN(Bootstrap!L29/Bootstrap!K29))</f>
        <v>0.14830764169860997</v>
      </c>
      <c r="G29" s="2">
        <f t="shared" si="0"/>
        <v>2.5062563254476107</v>
      </c>
      <c r="H29" s="4">
        <f t="shared" si="1"/>
        <v>12.258950526879572</v>
      </c>
    </row>
    <row r="30" spans="1:8" ht="15.75" customHeight="1" x14ac:dyDescent="0.15">
      <c r="A30" t="s">
        <v>145</v>
      </c>
      <c r="B30" s="2">
        <f>LN(Assumptions!$B$12/Assumptions!$B$11)</f>
        <v>1.0262916270884836</v>
      </c>
      <c r="C30" s="2">
        <f>IF(Corpus!R30="5x",LN(Assumptions!$B$14/Assumptions!$B$13),0)</f>
        <v>1.0269203602119932</v>
      </c>
      <c r="D30" s="2">
        <f>LN(Assumptions!$B$16/Assumptions!$B$15)</f>
        <v>8.0852096629094969E-2</v>
      </c>
      <c r="E30" s="2">
        <f>LN(Bootstrap!E30/Bootstrap!D30)</f>
        <v>0.22124379100657421</v>
      </c>
      <c r="F30" s="2">
        <f>IF(Corpus!Q30="None",0,LN(Bootstrap!L30/Bootstrap!K30))</f>
        <v>3.6883043095559898E-2</v>
      </c>
      <c r="G30" s="2">
        <f t="shared" si="0"/>
        <v>2.3921909180317065</v>
      </c>
      <c r="H30" s="4">
        <f t="shared" si="1"/>
        <v>10.937430725900342</v>
      </c>
    </row>
    <row r="31" spans="1:8" ht="15.75" customHeight="1" x14ac:dyDescent="0.15">
      <c r="A31" t="s">
        <v>146</v>
      </c>
      <c r="B31" s="2">
        <f>LN(Assumptions!$B$12/Assumptions!$B$11)</f>
        <v>1.0262916270884836</v>
      </c>
      <c r="C31" s="2">
        <f>IF(Corpus!R31="5x",LN(Assumptions!$B$14/Assumptions!$B$13),0)</f>
        <v>1.0269203602119932</v>
      </c>
      <c r="D31" s="2">
        <f>LN(Assumptions!$B$16/Assumptions!$B$15)</f>
        <v>8.0852096629094969E-2</v>
      </c>
      <c r="E31" s="2">
        <f>LN(Bootstrap!E31/Bootstrap!D31)</f>
        <v>0.22400349388683535</v>
      </c>
      <c r="F31" s="2">
        <f>IF(Corpus!Q31="None",0,LN(Bootstrap!L31/Bootstrap!K31))</f>
        <v>0.17436984452838342</v>
      </c>
      <c r="G31" s="2">
        <f t="shared" si="0"/>
        <v>2.5324374223447905</v>
      </c>
      <c r="H31" s="4">
        <f t="shared" si="1"/>
        <v>12.584141653710901</v>
      </c>
    </row>
    <row r="32" spans="1:8" ht="15.75" customHeight="1" x14ac:dyDescent="0.15">
      <c r="A32" t="s">
        <v>147</v>
      </c>
      <c r="B32" s="2">
        <f>LN(Assumptions!$B$12/Assumptions!$B$11)</f>
        <v>1.0262916270884836</v>
      </c>
      <c r="C32" s="2">
        <f>IF(Corpus!R32="5x",LN(Assumptions!$B$14/Assumptions!$B$13),0)</f>
        <v>1.0269203602119932</v>
      </c>
      <c r="D32" s="2">
        <f>LN(Assumptions!$B$16/Assumptions!$B$15)</f>
        <v>8.0852096629094969E-2</v>
      </c>
      <c r="E32" s="2">
        <f>LN(Bootstrap!E32/Bootstrap!D32)</f>
        <v>0.22114177378765429</v>
      </c>
      <c r="F32" s="2">
        <f>IF(Corpus!Q32="None",0,LN(Bootstrap!L32/Bootstrap!K32))</f>
        <v>3.8032752851678051E-2</v>
      </c>
      <c r="G32" s="2">
        <f t="shared" si="0"/>
        <v>2.3932386105689045</v>
      </c>
      <c r="H32" s="4">
        <f t="shared" si="1"/>
        <v>10.948895795333101</v>
      </c>
    </row>
    <row r="33" spans="1:8" ht="15.75" customHeight="1" x14ac:dyDescent="0.15">
      <c r="A33" t="s">
        <v>148</v>
      </c>
      <c r="B33" s="2">
        <f>LN(Assumptions!$B$12/Assumptions!$B$11)</f>
        <v>1.0262916270884836</v>
      </c>
      <c r="C33" s="2">
        <f>IF(Corpus!R33="5x",LN(Assumptions!$B$14/Assumptions!$B$13),0)</f>
        <v>1.0269203602119932</v>
      </c>
      <c r="D33" s="2">
        <f>LN(Assumptions!$B$16/Assumptions!$B$15)</f>
        <v>8.0852096629094969E-2</v>
      </c>
      <c r="E33" s="2">
        <f>LN(Bootstrap!E33/Bootstrap!D33)</f>
        <v>0.21476776496834668</v>
      </c>
      <c r="F33" s="2">
        <f>IF(Corpus!Q33="None",0,LN(Bootstrap!L33/Bootstrap!K33))</f>
        <v>0.13015395096162405</v>
      </c>
      <c r="G33" s="2">
        <f t="shared" si="0"/>
        <v>2.4789857998595428</v>
      </c>
      <c r="H33" s="4">
        <f t="shared" si="1"/>
        <v>11.92915972512739</v>
      </c>
    </row>
    <row r="34" spans="1:8" ht="15.75" customHeight="1" x14ac:dyDescent="0.15">
      <c r="A34" t="s">
        <v>149</v>
      </c>
      <c r="B34" s="2">
        <f>LN(Assumptions!$B$12/Assumptions!$B$11)</f>
        <v>1.0262916270884836</v>
      </c>
      <c r="C34" s="2">
        <f>IF(Corpus!R34="5x",LN(Assumptions!$B$14/Assumptions!$B$13),0)</f>
        <v>1.0269203602119932</v>
      </c>
      <c r="D34" s="2">
        <f>LN(Assumptions!$B$16/Assumptions!$B$15)</f>
        <v>8.0852096629094969E-2</v>
      </c>
      <c r="E34" s="2">
        <f>LN(Bootstrap!E34/Bootstrap!D34)</f>
        <v>0.23282989580326799</v>
      </c>
      <c r="F34" s="2">
        <f>IF(Corpus!Q34="None",0,LN(Bootstrap!L34/Bootstrap!K34))</f>
        <v>3.6740654860326127E-2</v>
      </c>
      <c r="G34" s="2">
        <f t="shared" si="0"/>
        <v>2.4036346345931663</v>
      </c>
      <c r="H34" s="4">
        <f t="shared" si="1"/>
        <v>11.063314498349548</v>
      </c>
    </row>
    <row r="35" spans="1:8" ht="15.75" customHeight="1" x14ac:dyDescent="0.15">
      <c r="A35" t="s">
        <v>150</v>
      </c>
      <c r="B35" s="2">
        <f>LN(Assumptions!$B$12/Assumptions!$B$11)</f>
        <v>1.0262916270884836</v>
      </c>
      <c r="C35" s="2">
        <f>IF(Corpus!R35="5x",LN(Assumptions!$B$14/Assumptions!$B$13),0)</f>
        <v>1.0269203602119932</v>
      </c>
      <c r="D35" s="2">
        <f>LN(Assumptions!$B$16/Assumptions!$B$15)</f>
        <v>8.0852096629094969E-2</v>
      </c>
      <c r="E35" s="2">
        <f>LN(Bootstrap!E35/Bootstrap!D35)</f>
        <v>0.22875679433545604</v>
      </c>
      <c r="F35" s="2">
        <f>IF(Corpus!Q35="None",0,LN(Bootstrap!L35/Bootstrap!K35))</f>
        <v>2.5998686016601387E-2</v>
      </c>
      <c r="G35" s="2">
        <f t="shared" si="0"/>
        <v>2.3888195642816292</v>
      </c>
      <c r="H35" s="4">
        <f t="shared" si="1"/>
        <v>10.900618865575085</v>
      </c>
    </row>
    <row r="36" spans="1:8" ht="15.75" customHeight="1" x14ac:dyDescent="0.15">
      <c r="A36" t="s">
        <v>151</v>
      </c>
      <c r="B36" s="2">
        <f>LN(Assumptions!$B$12/Assumptions!$B$11)</f>
        <v>1.0262916270884836</v>
      </c>
      <c r="C36" s="2">
        <f>IF(Corpus!R36="5x",LN(Assumptions!$B$14/Assumptions!$B$13),0)</f>
        <v>1.0269203602119932</v>
      </c>
      <c r="D36" s="2">
        <f>LN(Assumptions!$B$16/Assumptions!$B$15)</f>
        <v>8.0852096629094969E-2</v>
      </c>
      <c r="E36" s="2">
        <f>LN(Bootstrap!E36/Bootstrap!D36)</f>
        <v>0.22889598580729698</v>
      </c>
      <c r="F36" s="2">
        <f>IF(Corpus!Q36="None",0,LN(Bootstrap!L36/Bootstrap!K36))</f>
        <v>2.7576283264212242E-2</v>
      </c>
      <c r="G36" s="2">
        <f t="shared" si="0"/>
        <v>2.3905363530010812</v>
      </c>
      <c r="H36" s="4">
        <f t="shared" si="1"/>
        <v>10.919348998318478</v>
      </c>
    </row>
    <row r="37" spans="1:8" ht="15.75" customHeight="1" x14ac:dyDescent="0.15">
      <c r="A37" t="s">
        <v>152</v>
      </c>
      <c r="B37" s="2">
        <f>LN(Assumptions!$B$12/Assumptions!$B$11)</f>
        <v>1.0262916270884836</v>
      </c>
      <c r="C37" s="2">
        <f>IF(Corpus!R37="5x",LN(Assumptions!$B$14/Assumptions!$B$13),0)</f>
        <v>1.0269203602119932</v>
      </c>
      <c r="D37" s="2">
        <f>LN(Assumptions!$B$16/Assumptions!$B$15)</f>
        <v>8.0852096629094969E-2</v>
      </c>
      <c r="E37" s="2">
        <f>LN(Bootstrap!E37/Bootstrap!D37)</f>
        <v>0.22653823029332079</v>
      </c>
      <c r="F37" s="2">
        <f>IF(Corpus!Q37="None",0,LN(Bootstrap!L37/Bootstrap!K37))</f>
        <v>0.10955435147705439</v>
      </c>
      <c r="G37" s="2">
        <f t="shared" si="0"/>
        <v>2.4701566656999474</v>
      </c>
      <c r="H37" s="4">
        <f t="shared" si="1"/>
        <v>11.824299168650947</v>
      </c>
    </row>
    <row r="38" spans="1:8" ht="15.75" customHeight="1" x14ac:dyDescent="0.15">
      <c r="A38" t="s">
        <v>153</v>
      </c>
      <c r="B38" s="2">
        <f>LN(Assumptions!$B$12/Assumptions!$B$11)</f>
        <v>1.0262916270884836</v>
      </c>
      <c r="C38" s="2">
        <f>IF(Corpus!R38="5x",LN(Assumptions!$B$14/Assumptions!$B$13),0)</f>
        <v>1.0269203602119932</v>
      </c>
      <c r="D38" s="2">
        <f>LN(Assumptions!$B$16/Assumptions!$B$15)</f>
        <v>8.0852096629094969E-2</v>
      </c>
      <c r="E38" s="2">
        <f>LN(Bootstrap!E38/Bootstrap!D38)</f>
        <v>0.22680067291668912</v>
      </c>
      <c r="F38" s="2">
        <f>IF(Corpus!Q38="None",0,LN(Bootstrap!L38/Bootstrap!K38))</f>
        <v>6.844723672407832E-2</v>
      </c>
      <c r="G38" s="2">
        <f t="shared" si="0"/>
        <v>2.4293119935703396</v>
      </c>
      <c r="H38" s="4">
        <f t="shared" si="1"/>
        <v>11.351069783859813</v>
      </c>
    </row>
    <row r="39" spans="1:8" ht="15.75" customHeight="1" x14ac:dyDescent="0.15">
      <c r="A39" t="s">
        <v>154</v>
      </c>
      <c r="B39" s="2">
        <f>LN(Assumptions!$B$12/Assumptions!$B$11)</f>
        <v>1.0262916270884836</v>
      </c>
      <c r="C39" s="2">
        <f>IF(Corpus!R39="5x",LN(Assumptions!$B$14/Assumptions!$B$13),0)</f>
        <v>1.0269203602119932</v>
      </c>
      <c r="D39" s="2">
        <f>LN(Assumptions!$B$16/Assumptions!$B$15)</f>
        <v>8.0852096629094969E-2</v>
      </c>
      <c r="E39" s="2">
        <f>LN(Bootstrap!E39/Bootstrap!D39)</f>
        <v>0.21328992498581426</v>
      </c>
      <c r="F39" s="2">
        <f>IF(Corpus!Q39="None",0,LN(Bootstrap!L39/Bootstrap!K39))</f>
        <v>2.9223347823833557E-2</v>
      </c>
      <c r="G39" s="2">
        <f t="shared" si="0"/>
        <v>2.3765773567392201</v>
      </c>
      <c r="H39" s="4">
        <f t="shared" si="1"/>
        <v>10.767984750765978</v>
      </c>
    </row>
    <row r="40" spans="1:8" ht="15.75" customHeight="1" x14ac:dyDescent="0.15">
      <c r="A40" t="s">
        <v>155</v>
      </c>
      <c r="B40" s="2">
        <f>LN(Assumptions!$B$12/Assumptions!$B$11)</f>
        <v>1.0262916270884836</v>
      </c>
      <c r="C40" s="2">
        <f>IF(Corpus!R40="5x",LN(Assumptions!$B$14/Assumptions!$B$13),0)</f>
        <v>1.0269203602119932</v>
      </c>
      <c r="D40" s="2">
        <f>LN(Assumptions!$B$16/Assumptions!$B$15)</f>
        <v>8.0852096629094969E-2</v>
      </c>
      <c r="E40" s="2">
        <f>LN(Bootstrap!E40/Bootstrap!D40)</f>
        <v>0.22640663446793521</v>
      </c>
      <c r="F40" s="2">
        <f>IF(Corpus!Q40="None",0,LN(Bootstrap!L40/Bootstrap!K40))</f>
        <v>2.4902531895691978E-2</v>
      </c>
      <c r="G40" s="2">
        <f t="shared" si="0"/>
        <v>2.3853732502931995</v>
      </c>
      <c r="H40" s="4">
        <f t="shared" si="1"/>
        <v>10.86311656975759</v>
      </c>
    </row>
    <row r="41" spans="1:8" ht="15.75" customHeight="1" x14ac:dyDescent="0.15">
      <c r="A41" t="s">
        <v>156</v>
      </c>
      <c r="B41" s="2">
        <f>LN(Assumptions!$B$12/Assumptions!$B$11)</f>
        <v>1.0262916270884836</v>
      </c>
      <c r="C41" s="2">
        <f>IF(Corpus!R41="5x",LN(Assumptions!$B$14/Assumptions!$B$13),0)</f>
        <v>1.0269203602119932</v>
      </c>
      <c r="D41" s="2">
        <f>LN(Assumptions!$B$16/Assumptions!$B$15)</f>
        <v>8.0852096629094969E-2</v>
      </c>
      <c r="E41" s="2">
        <f>LN(Bootstrap!E41/Bootstrap!D41)</f>
        <v>0.22829831947405804</v>
      </c>
      <c r="F41" s="2">
        <f>IF(Corpus!Q41="None",0,LN(Bootstrap!L41/Bootstrap!K41))</f>
        <v>2.9778128870158092E-2</v>
      </c>
      <c r="G41" s="2">
        <f t="shared" si="0"/>
        <v>2.3921405322737881</v>
      </c>
      <c r="H41" s="4">
        <f t="shared" si="1"/>
        <v>10.936879649046865</v>
      </c>
    </row>
    <row r="42" spans="1:8" ht="15.75" customHeight="1" x14ac:dyDescent="0.15">
      <c r="A42" t="s">
        <v>157</v>
      </c>
      <c r="B42" s="2">
        <f>LN(Assumptions!$B$12/Assumptions!$B$11)</f>
        <v>1.0262916270884836</v>
      </c>
      <c r="C42" s="2">
        <f>IF(Corpus!R42="5x",LN(Assumptions!$B$14/Assumptions!$B$13),0)</f>
        <v>1.0269203602119932</v>
      </c>
      <c r="D42" s="2">
        <f>LN(Assumptions!$B$16/Assumptions!$B$15)</f>
        <v>8.0852096629094969E-2</v>
      </c>
      <c r="E42" s="2">
        <f>LN(Bootstrap!E42/Bootstrap!D42)</f>
        <v>0.22459484936408852</v>
      </c>
      <c r="F42" s="2">
        <f>IF(Corpus!Q42="None",0,LN(Bootstrap!L42/Bootstrap!K42))</f>
        <v>2.5553772834234011E-2</v>
      </c>
      <c r="G42" s="2">
        <f t="shared" si="0"/>
        <v>2.3842127061278946</v>
      </c>
      <c r="H42" s="4">
        <f t="shared" si="1"/>
        <v>10.850516755939921</v>
      </c>
    </row>
    <row r="43" spans="1:8" ht="15.75" customHeight="1" x14ac:dyDescent="0.15">
      <c r="A43" t="s">
        <v>158</v>
      </c>
      <c r="B43" s="2">
        <f>LN(Assumptions!$B$12/Assumptions!$B$11)</f>
        <v>1.0262916270884836</v>
      </c>
      <c r="C43" s="2">
        <f>IF(Corpus!R43="5x",LN(Assumptions!$B$14/Assumptions!$B$13),0)</f>
        <v>1.0269203602119932</v>
      </c>
      <c r="D43" s="2">
        <f>LN(Assumptions!$B$16/Assumptions!$B$15)</f>
        <v>8.0852096629094969E-2</v>
      </c>
      <c r="E43" s="2">
        <f>LN(Bootstrap!E43/Bootstrap!D43)</f>
        <v>0.25254492665842082</v>
      </c>
      <c r="F43" s="2">
        <f>IF(Corpus!Q43="None",0,LN(Bootstrap!L43/Bootstrap!K43))</f>
        <v>7.3162373332332373E-2</v>
      </c>
      <c r="G43" s="2">
        <f t="shared" si="0"/>
        <v>2.4597713839203257</v>
      </c>
      <c r="H43" s="4">
        <f t="shared" si="1"/>
        <v>11.702135937707762</v>
      </c>
    </row>
    <row r="44" spans="1:8" ht="15.75" customHeight="1" x14ac:dyDescent="0.15">
      <c r="A44" t="s">
        <v>159</v>
      </c>
      <c r="B44" s="2">
        <f>LN(Assumptions!$B$12/Assumptions!$B$11)</f>
        <v>1.0262916270884836</v>
      </c>
      <c r="C44" s="2">
        <f>IF(Corpus!R44="5x",LN(Assumptions!$B$14/Assumptions!$B$13),0)</f>
        <v>1.0269203602119932</v>
      </c>
      <c r="D44" s="2">
        <f>LN(Assumptions!$B$16/Assumptions!$B$15)</f>
        <v>8.0852096629094969E-2</v>
      </c>
      <c r="E44" s="2">
        <f>LN(Bootstrap!E44/Bootstrap!D44)</f>
        <v>0.25580166917869496</v>
      </c>
      <c r="F44" s="2">
        <f>IF(Corpus!Q44="None",0,LN(Bootstrap!L44/Bootstrap!K44))</f>
        <v>7.3162373332332373E-2</v>
      </c>
      <c r="G44" s="2">
        <f t="shared" si="0"/>
        <v>2.4630281264405998</v>
      </c>
      <c r="H44" s="4">
        <f t="shared" si="1"/>
        <v>11.740308907421198</v>
      </c>
    </row>
    <row r="45" spans="1:8" ht="15.75" customHeight="1" x14ac:dyDescent="0.15">
      <c r="A45" t="s">
        <v>161</v>
      </c>
      <c r="B45" s="2">
        <f>LN(Assumptions!$B$12/Assumptions!$B$11)</f>
        <v>1.0262916270884836</v>
      </c>
      <c r="C45" s="2">
        <f>IF(Corpus!R45="5x",LN(Assumptions!$B$14/Assumptions!$B$13),0)</f>
        <v>1.0269203602119932</v>
      </c>
      <c r="D45" s="2">
        <f>LN(Assumptions!$B$16/Assumptions!$B$15)</f>
        <v>8.0852096629094969E-2</v>
      </c>
      <c r="E45" s="2">
        <f>LN(Bootstrap!E45/Bootstrap!D45)</f>
        <v>0.22630318240637423</v>
      </c>
      <c r="F45" s="2">
        <f>IF(Corpus!Q45="None",0,LN(Bootstrap!L45/Bootstrap!K45))</f>
        <v>4.1847938054101953E-2</v>
      </c>
      <c r="G45" s="2">
        <f t="shared" si="0"/>
        <v>2.4022152043900484</v>
      </c>
      <c r="H45" s="4">
        <f t="shared" si="1"/>
        <v>11.047622035416664</v>
      </c>
    </row>
    <row r="46" spans="1:8" ht="15.75" customHeight="1" x14ac:dyDescent="0.15">
      <c r="A46" t="s">
        <v>162</v>
      </c>
      <c r="B46" s="2">
        <f>LN(Assumptions!$B$12/Assumptions!$B$11)</f>
        <v>1.0262916270884836</v>
      </c>
      <c r="C46" s="2">
        <f>IF(Corpus!R46="5x",LN(Assumptions!$B$14/Assumptions!$B$13),0)</f>
        <v>1.0269203602119932</v>
      </c>
      <c r="D46" s="2">
        <f>LN(Assumptions!$B$16/Assumptions!$B$15)</f>
        <v>8.0852096629094969E-2</v>
      </c>
      <c r="E46" s="2">
        <f>LN(Bootstrap!E46/Bootstrap!D46)</f>
        <v>0.20433787332943226</v>
      </c>
      <c r="F46" s="2">
        <f>IF(Corpus!Q46="None",0,LN(Bootstrap!L46/Bootstrap!K46))</f>
        <v>2.6376698381433049E-2</v>
      </c>
      <c r="G46" s="2">
        <f t="shared" si="0"/>
        <v>2.3647786556404373</v>
      </c>
      <c r="H46" s="4">
        <f t="shared" si="1"/>
        <v>10.641683080278979</v>
      </c>
    </row>
    <row r="47" spans="1:8" ht="15.75" customHeight="1" x14ac:dyDescent="0.15">
      <c r="A47" t="s">
        <v>163</v>
      </c>
      <c r="B47" s="2">
        <f>LN(Assumptions!$B$12/Assumptions!$B$11)</f>
        <v>1.0262916270884836</v>
      </c>
      <c r="C47" s="2">
        <f>IF(Corpus!R47="5x",LN(Assumptions!$B$14/Assumptions!$B$13),0)</f>
        <v>1.0269203602119932</v>
      </c>
      <c r="D47" s="2">
        <f>LN(Assumptions!$B$16/Assumptions!$B$15)</f>
        <v>8.0852096629094969E-2</v>
      </c>
      <c r="E47" s="2">
        <f>LN(Bootstrap!E47/Bootstrap!D47)</f>
        <v>0.20608748254899767</v>
      </c>
      <c r="F47" s="2">
        <f>IF(Corpus!Q47="None",0,LN(Bootstrap!L47/Bootstrap!K47))</f>
        <v>2.8230314097089163E-2</v>
      </c>
      <c r="G47" s="2">
        <f t="shared" si="0"/>
        <v>2.3683818805756589</v>
      </c>
      <c r="H47" s="4">
        <f t="shared" si="1"/>
        <v>10.68009662286283</v>
      </c>
    </row>
    <row r="48" spans="1:8" ht="15.75" customHeight="1" x14ac:dyDescent="0.15">
      <c r="A48" t="s">
        <v>164</v>
      </c>
      <c r="B48" s="2">
        <f>LN(Assumptions!$B$12/Assumptions!$B$11)</f>
        <v>1.0262916270884836</v>
      </c>
      <c r="C48" s="2">
        <f>IF(Corpus!R48="5x",LN(Assumptions!$B$14/Assumptions!$B$13),0)</f>
        <v>1.0269203602119932</v>
      </c>
      <c r="D48" s="2">
        <f>LN(Assumptions!$B$16/Assumptions!$B$15)</f>
        <v>8.0852096629094969E-2</v>
      </c>
      <c r="E48" s="2">
        <f>LN(Bootstrap!E48/Bootstrap!D48)</f>
        <v>0.22502919326830706</v>
      </c>
      <c r="F48" s="2">
        <f>IF(Corpus!Q48="None",0,LN(Bootstrap!L48/Bootstrap!K48))</f>
        <v>1.8871310364614584E-2</v>
      </c>
      <c r="G48" s="2">
        <f t="shared" si="0"/>
        <v>2.3779645875624942</v>
      </c>
      <c r="H48" s="4">
        <f t="shared" si="1"/>
        <v>10.782932796914789</v>
      </c>
    </row>
    <row r="49" spans="1:8" ht="15.75" customHeight="1" x14ac:dyDescent="0.15">
      <c r="A49" t="s">
        <v>165</v>
      </c>
      <c r="B49" s="2">
        <f>LN(Assumptions!$B$12/Assumptions!$B$11)</f>
        <v>1.0262916270884836</v>
      </c>
      <c r="C49" s="2">
        <f>IF(Corpus!R49="5x",LN(Assumptions!$B$14/Assumptions!$B$13),0)</f>
        <v>1.0269203602119932</v>
      </c>
      <c r="D49" s="2">
        <f>LN(Assumptions!$B$16/Assumptions!$B$15)</f>
        <v>8.0852096629094969E-2</v>
      </c>
      <c r="E49" s="2">
        <f>LN(Bootstrap!E49/Bootstrap!D49)</f>
        <v>0.21645983172257127</v>
      </c>
      <c r="F49" s="2">
        <f>IF(Corpus!Q49="None",0,LN(Bootstrap!L49/Bootstrap!K49))</f>
        <v>4.8369879053555838E-2</v>
      </c>
      <c r="G49" s="2">
        <f t="shared" si="0"/>
        <v>2.3988937947056992</v>
      </c>
      <c r="H49" s="4">
        <f t="shared" si="1"/>
        <v>11.010989226559284</v>
      </c>
    </row>
    <row r="50" spans="1:8" ht="15.75" customHeight="1" x14ac:dyDescent="0.15"/>
    <row r="51" spans="1:8" ht="15.75" customHeight="1" x14ac:dyDescent="0.15">
      <c r="A51" t="s">
        <v>231</v>
      </c>
      <c r="B51" s="2">
        <f>AVERAGEIFS(B3:B49,Corpus!$Q$3:$Q$49,"&lt;&gt;None",Corpus!$R$3:$R$49,"5x")</f>
        <v>1.0262916270884832</v>
      </c>
      <c r="C51" s="2">
        <f>AVERAGEIFS(C3:C49,Corpus!$Q$3:$Q$49,"&lt;&gt;None",Corpus!$R$3:$R$49,"5x")</f>
        <v>1.0269203602119932</v>
      </c>
      <c r="D51" s="2">
        <f>AVERAGEIFS(D3:D49,Corpus!$Q$3:$Q$49,"&lt;&gt;None",Corpus!$R$3:$R$49,"5x")</f>
        <v>8.0852096629094997E-2</v>
      </c>
      <c r="E51" s="2">
        <f>AVERAGEIFS(E3:E49,Corpus!$Q$3:$Q$49,"&lt;&gt;None",Corpus!$R$3:$R$49,"5x")</f>
        <v>0.22574733067226932</v>
      </c>
      <c r="F51" s="2">
        <f>AVERAGEIFS(F3:F49,Corpus!$Q$3:$Q$49,"&lt;&gt;None",Corpus!$R$3:$R$49,"5x")</f>
        <v>7.5941809713404709E-2</v>
      </c>
      <c r="G51" s="2">
        <f>AVERAGEIFS(G3:G49,Corpus!$Q$3:$Q$49,"&lt;&gt;None",Corpus!$R$3:$R$49,"5x")</f>
        <v>2.435753224315246</v>
      </c>
      <c r="H51" s="4">
        <f>AVERAGEIFS(H3:H49,Corpus!$Q$3:$Q$49,"&lt;&gt;None",Corpus!$R$3:$R$49,"5x")</f>
        <v>11.479747075157663</v>
      </c>
    </row>
    <row r="52" spans="1:8" ht="15.75" customHeight="1" x14ac:dyDescent="0.15">
      <c r="A52" t="s">
        <v>232</v>
      </c>
      <c r="B52" s="2">
        <f t="shared" ref="B52:H52" si="2">MEDIAN(B3:B49)</f>
        <v>1.0262916270884836</v>
      </c>
      <c r="C52" s="2">
        <f t="shared" si="2"/>
        <v>1.0269203602119932</v>
      </c>
      <c r="D52" s="2">
        <f t="shared" si="2"/>
        <v>8.0852096629094969E-2</v>
      </c>
      <c r="E52" s="2">
        <f t="shared" si="2"/>
        <v>0.22459484936408852</v>
      </c>
      <c r="F52" s="2">
        <f t="shared" si="2"/>
        <v>4.1847938054101953E-2</v>
      </c>
      <c r="G52" s="2">
        <f t="shared" si="2"/>
        <v>2.3988937947056992</v>
      </c>
      <c r="H52" s="4">
        <f t="shared" si="2"/>
        <v>11.010989226559284</v>
      </c>
    </row>
    <row r="53" spans="1:8" ht="15.75" customHeight="1" x14ac:dyDescent="0.15">
      <c r="A53" t="s">
        <v>233</v>
      </c>
      <c r="H53" s="4">
        <f>EXP(G51)</f>
        <v>11.424420624778016</v>
      </c>
    </row>
    <row r="54" spans="1:8" ht="15.75" customHeight="1" x14ac:dyDescent="0.15"/>
    <row r="55" spans="1:8" ht="15.75" customHeight="1" x14ac:dyDescent="0.15">
      <c r="E55" s="2">
        <f>MIN(E3:E49)</f>
        <v>0.20213508333209224</v>
      </c>
      <c r="F55" s="2">
        <f>MIN(F3:F49)</f>
        <v>0</v>
      </c>
    </row>
    <row r="56" spans="1:8" ht="15.75" customHeight="1" x14ac:dyDescent="0.15">
      <c r="E56" s="2">
        <f>MAX(E3:E49)</f>
        <v>0.32822836023813878</v>
      </c>
      <c r="F56" s="2">
        <f>MAX(F3:F49)</f>
        <v>0.47685335385823557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50"/>
  <sheetViews>
    <sheetView zoomScaleNormal="100" workbookViewId="0"/>
  </sheetViews>
  <sheetFormatPr baseColWidth="10" defaultColWidth="14.5" defaultRowHeight="15" customHeight="1" x14ac:dyDescent="0.15"/>
  <cols>
    <col min="1" max="1" width="28" customWidth="1"/>
    <col min="2" max="2" width="34" customWidth="1"/>
    <col min="3" max="3" width="8" customWidth="1"/>
    <col min="4" max="4" width="9" customWidth="1"/>
    <col min="5" max="6" width="8.6640625" customWidth="1"/>
  </cols>
  <sheetData>
    <row r="1" spans="1:4" ht="15" customHeight="1" x14ac:dyDescent="0.15">
      <c r="A1" s="1" t="s">
        <v>217</v>
      </c>
    </row>
    <row r="2" spans="1:4" ht="15" customHeight="1" x14ac:dyDescent="0.15">
      <c r="A2" s="1" t="s">
        <v>218</v>
      </c>
      <c r="B2" s="1" t="s">
        <v>219</v>
      </c>
      <c r="C2" s="1" t="s">
        <v>220</v>
      </c>
      <c r="D2" s="1" t="s">
        <v>221</v>
      </c>
    </row>
    <row r="3" spans="1:4" ht="15" customHeight="1" x14ac:dyDescent="0.15">
      <c r="A3" t="s">
        <v>105</v>
      </c>
      <c r="B3" s="3">
        <v>80.099999999999994</v>
      </c>
      <c r="C3" s="3">
        <v>23.9</v>
      </c>
      <c r="D3" s="8">
        <v>57</v>
      </c>
    </row>
    <row r="4" spans="1:4" ht="15" customHeight="1" x14ac:dyDescent="0.15">
      <c r="A4" t="s">
        <v>115</v>
      </c>
      <c r="B4" s="3">
        <v>68.099999999999994</v>
      </c>
      <c r="C4" s="3">
        <v>15.7</v>
      </c>
      <c r="D4" s="8">
        <v>56</v>
      </c>
    </row>
    <row r="5" spans="1:4" ht="15" customHeight="1" x14ac:dyDescent="0.15">
      <c r="A5" t="s">
        <v>111</v>
      </c>
      <c r="B5" s="3">
        <v>61.7</v>
      </c>
      <c r="C5" s="3">
        <v>14.2</v>
      </c>
      <c r="D5" s="8">
        <v>57</v>
      </c>
    </row>
    <row r="6" spans="1:4" ht="15" customHeight="1" x14ac:dyDescent="0.15">
      <c r="A6" t="s">
        <v>113</v>
      </c>
      <c r="B6" s="3">
        <v>60.8</v>
      </c>
      <c r="C6" s="3">
        <v>14.5</v>
      </c>
      <c r="D6" s="8">
        <v>57</v>
      </c>
    </row>
    <row r="7" spans="1:4" ht="15" customHeight="1" x14ac:dyDescent="0.15">
      <c r="A7" t="s">
        <v>109</v>
      </c>
      <c r="B7" s="3">
        <v>61.4</v>
      </c>
      <c r="C7" s="3">
        <v>13.3</v>
      </c>
      <c r="D7" s="8">
        <v>57</v>
      </c>
    </row>
    <row r="8" spans="1:4" ht="15" customHeight="1" x14ac:dyDescent="0.15">
      <c r="A8" t="s">
        <v>117</v>
      </c>
      <c r="B8" s="3">
        <v>63.8</v>
      </c>
      <c r="C8" s="3">
        <v>16.7</v>
      </c>
      <c r="D8" s="8">
        <v>56</v>
      </c>
    </row>
    <row r="9" spans="1:4" ht="15" customHeight="1" x14ac:dyDescent="0.15">
      <c r="A9" t="s">
        <v>123</v>
      </c>
      <c r="B9" s="3">
        <v>57.5</v>
      </c>
      <c r="C9" s="3">
        <v>6.4</v>
      </c>
      <c r="D9" s="8">
        <v>56</v>
      </c>
    </row>
    <row r="10" spans="1:4" ht="15" customHeight="1" x14ac:dyDescent="0.15">
      <c r="A10" t="s">
        <v>121</v>
      </c>
      <c r="B10" s="3">
        <v>57</v>
      </c>
      <c r="C10" s="3">
        <v>6</v>
      </c>
      <c r="D10" s="8">
        <v>57</v>
      </c>
    </row>
    <row r="11" spans="1:4" ht="15" customHeight="1" x14ac:dyDescent="0.15">
      <c r="A11" t="s">
        <v>122</v>
      </c>
      <c r="B11" s="3">
        <v>57.9</v>
      </c>
      <c r="C11" s="3">
        <v>6.3</v>
      </c>
      <c r="D11" s="8">
        <v>57</v>
      </c>
    </row>
    <row r="12" spans="1:4" ht="15" customHeight="1" x14ac:dyDescent="0.15">
      <c r="A12" t="s">
        <v>120</v>
      </c>
      <c r="B12" s="3">
        <v>59.6</v>
      </c>
      <c r="C12" s="3">
        <v>6.4</v>
      </c>
      <c r="D12" s="8">
        <v>57</v>
      </c>
    </row>
    <row r="13" spans="1:4" ht="15" customHeight="1" x14ac:dyDescent="0.15">
      <c r="A13" t="s">
        <v>124</v>
      </c>
      <c r="B13" s="3">
        <v>59.1</v>
      </c>
      <c r="C13" s="3">
        <v>6.9</v>
      </c>
      <c r="D13" s="8">
        <v>56</v>
      </c>
    </row>
    <row r="14" spans="1:4" ht="15" customHeight="1" x14ac:dyDescent="0.15">
      <c r="A14" t="s">
        <v>141</v>
      </c>
      <c r="B14" s="3">
        <v>93.4</v>
      </c>
      <c r="C14" s="3">
        <v>11.3</v>
      </c>
      <c r="D14" s="8">
        <v>56</v>
      </c>
    </row>
    <row r="15" spans="1:4" ht="15" customHeight="1" x14ac:dyDescent="0.15">
      <c r="A15" t="s">
        <v>139</v>
      </c>
      <c r="B15" s="3">
        <v>92.1</v>
      </c>
      <c r="C15" s="3">
        <v>16.3</v>
      </c>
      <c r="D15" s="8">
        <v>57</v>
      </c>
    </row>
    <row r="16" spans="1:4" ht="15" customHeight="1" x14ac:dyDescent="0.15">
      <c r="A16" t="s">
        <v>140</v>
      </c>
      <c r="B16" s="3">
        <v>93</v>
      </c>
      <c r="C16" s="3">
        <v>10.7</v>
      </c>
      <c r="D16" s="8">
        <v>57</v>
      </c>
    </row>
    <row r="17" spans="1:4" ht="15" customHeight="1" x14ac:dyDescent="0.15">
      <c r="A17" t="s">
        <v>138</v>
      </c>
      <c r="B17" s="3">
        <v>86</v>
      </c>
      <c r="C17" s="3">
        <v>12.7</v>
      </c>
      <c r="D17" s="8">
        <v>57</v>
      </c>
    </row>
    <row r="18" spans="1:4" ht="15" customHeight="1" x14ac:dyDescent="0.15">
      <c r="A18" t="s">
        <v>142</v>
      </c>
      <c r="B18" s="3">
        <v>95.6</v>
      </c>
      <c r="C18" s="3">
        <v>10.1</v>
      </c>
      <c r="D18" s="8">
        <v>44</v>
      </c>
    </row>
    <row r="19" spans="1:4" ht="15" customHeight="1" x14ac:dyDescent="0.15">
      <c r="A19" t="s">
        <v>135</v>
      </c>
      <c r="B19" s="3">
        <v>140.4</v>
      </c>
      <c r="C19" s="3">
        <v>13.5</v>
      </c>
      <c r="D19" s="8">
        <v>56</v>
      </c>
    </row>
    <row r="20" spans="1:4" ht="15" customHeight="1" x14ac:dyDescent="0.15">
      <c r="A20" t="s">
        <v>133</v>
      </c>
      <c r="B20" s="3">
        <v>137.19999999999999</v>
      </c>
      <c r="C20" s="3">
        <v>14.3</v>
      </c>
      <c r="D20" s="8">
        <v>57</v>
      </c>
    </row>
    <row r="21" spans="1:4" ht="15.75" customHeight="1" x14ac:dyDescent="0.15">
      <c r="A21" t="s">
        <v>134</v>
      </c>
      <c r="B21" s="3">
        <v>136.69999999999999</v>
      </c>
      <c r="C21" s="3">
        <v>15.2</v>
      </c>
      <c r="D21" s="8">
        <v>57</v>
      </c>
    </row>
    <row r="22" spans="1:4" ht="15.75" customHeight="1" x14ac:dyDescent="0.15">
      <c r="A22" t="s">
        <v>132</v>
      </c>
      <c r="B22" s="3">
        <v>140.5</v>
      </c>
      <c r="C22" s="3">
        <v>18.100000000000001</v>
      </c>
      <c r="D22" s="8">
        <v>57</v>
      </c>
    </row>
    <row r="23" spans="1:4" ht="15.75" customHeight="1" x14ac:dyDescent="0.15">
      <c r="A23" t="s">
        <v>136</v>
      </c>
      <c r="B23" s="3">
        <v>139.19999999999999</v>
      </c>
      <c r="C23" s="3">
        <v>24.5</v>
      </c>
      <c r="D23" s="8">
        <v>23</v>
      </c>
    </row>
    <row r="24" spans="1:4" ht="15.75" customHeight="1" x14ac:dyDescent="0.15">
      <c r="A24" t="s">
        <v>129</v>
      </c>
      <c r="B24" s="3">
        <v>155.19999999999999</v>
      </c>
      <c r="C24" s="3">
        <v>19.5</v>
      </c>
      <c r="D24" s="8">
        <v>56</v>
      </c>
    </row>
    <row r="25" spans="1:4" ht="15.75" customHeight="1" x14ac:dyDescent="0.15">
      <c r="A25" t="s">
        <v>127</v>
      </c>
      <c r="B25" s="3">
        <v>154.1</v>
      </c>
      <c r="C25" s="3">
        <v>18.5</v>
      </c>
      <c r="D25" s="8">
        <v>57</v>
      </c>
    </row>
    <row r="26" spans="1:4" ht="15.75" customHeight="1" x14ac:dyDescent="0.15">
      <c r="A26" t="s">
        <v>128</v>
      </c>
      <c r="B26" s="3">
        <v>152.30000000000001</v>
      </c>
      <c r="C26" s="3">
        <v>22.1</v>
      </c>
      <c r="D26" s="8">
        <v>57</v>
      </c>
    </row>
    <row r="27" spans="1:4" ht="15.75" customHeight="1" x14ac:dyDescent="0.15">
      <c r="A27" t="s">
        <v>126</v>
      </c>
      <c r="B27" s="3">
        <v>156.6</v>
      </c>
      <c r="C27" s="3">
        <v>18.7</v>
      </c>
      <c r="D27" s="8">
        <v>57</v>
      </c>
    </row>
    <row r="28" spans="1:4" ht="15.75" customHeight="1" x14ac:dyDescent="0.15">
      <c r="A28" t="s">
        <v>130</v>
      </c>
      <c r="B28" s="3">
        <v>153.69999999999999</v>
      </c>
      <c r="C28" s="3">
        <v>19.8</v>
      </c>
      <c r="D28" s="8">
        <v>56</v>
      </c>
    </row>
    <row r="29" spans="1:4" ht="15.75" customHeight="1" x14ac:dyDescent="0.15">
      <c r="A29" t="s">
        <v>147</v>
      </c>
      <c r="B29" s="3">
        <v>61.5</v>
      </c>
      <c r="C29" s="3">
        <v>9</v>
      </c>
      <c r="D29" s="8">
        <v>56</v>
      </c>
    </row>
    <row r="30" spans="1:4" ht="15.75" customHeight="1" x14ac:dyDescent="0.15">
      <c r="A30" t="s">
        <v>145</v>
      </c>
      <c r="B30" s="3">
        <v>61.2</v>
      </c>
      <c r="C30" s="3">
        <v>8.6</v>
      </c>
      <c r="D30" s="8">
        <v>57</v>
      </c>
    </row>
    <row r="31" spans="1:4" ht="15.75" customHeight="1" x14ac:dyDescent="0.15">
      <c r="A31" t="s">
        <v>146</v>
      </c>
      <c r="B31" s="3">
        <v>61.4</v>
      </c>
      <c r="C31" s="3">
        <v>9.1</v>
      </c>
      <c r="D31" s="8">
        <v>57</v>
      </c>
    </row>
    <row r="32" spans="1:4" ht="15.75" customHeight="1" x14ac:dyDescent="0.15">
      <c r="A32" t="s">
        <v>143</v>
      </c>
      <c r="B32" s="3">
        <v>60.9</v>
      </c>
      <c r="C32" s="3">
        <v>9.1999999999999993</v>
      </c>
      <c r="D32" s="8">
        <v>57</v>
      </c>
    </row>
    <row r="33" spans="1:4" ht="15.75" customHeight="1" x14ac:dyDescent="0.15">
      <c r="A33" t="s">
        <v>148</v>
      </c>
      <c r="B33" s="3">
        <v>61.4</v>
      </c>
      <c r="C33" s="3">
        <v>9.9</v>
      </c>
      <c r="D33" s="8">
        <v>56</v>
      </c>
    </row>
    <row r="34" spans="1:4" ht="15.75" customHeight="1" x14ac:dyDescent="0.15">
      <c r="A34" t="s">
        <v>152</v>
      </c>
      <c r="B34" s="3">
        <v>131.4</v>
      </c>
      <c r="C34" s="3">
        <v>17.8</v>
      </c>
      <c r="D34" s="8">
        <v>41</v>
      </c>
    </row>
    <row r="35" spans="1:4" ht="15.75" customHeight="1" x14ac:dyDescent="0.15">
      <c r="A35" t="s">
        <v>150</v>
      </c>
      <c r="B35" s="3">
        <v>130</v>
      </c>
      <c r="C35" s="3">
        <v>21.1</v>
      </c>
      <c r="D35" s="8">
        <v>41</v>
      </c>
    </row>
    <row r="36" spans="1:4" ht="15.75" customHeight="1" x14ac:dyDescent="0.15">
      <c r="A36" t="s">
        <v>151</v>
      </c>
      <c r="B36" s="3">
        <v>135.1</v>
      </c>
      <c r="C36" s="3">
        <v>29.1</v>
      </c>
      <c r="D36" s="8">
        <v>41</v>
      </c>
    </row>
    <row r="37" spans="1:4" ht="15.75" customHeight="1" x14ac:dyDescent="0.15">
      <c r="A37" t="s">
        <v>149</v>
      </c>
      <c r="B37" s="3">
        <v>127.8</v>
      </c>
      <c r="C37" s="3">
        <v>19.899999999999999</v>
      </c>
      <c r="D37" s="8">
        <v>41</v>
      </c>
    </row>
    <row r="38" spans="1:4" ht="15.75" customHeight="1" x14ac:dyDescent="0.15">
      <c r="A38" t="s">
        <v>153</v>
      </c>
      <c r="B38" s="3">
        <v>130.1</v>
      </c>
      <c r="C38" s="3">
        <v>20.3</v>
      </c>
      <c r="D38" s="8">
        <v>41</v>
      </c>
    </row>
    <row r="39" spans="1:4" ht="15.75" customHeight="1" x14ac:dyDescent="0.15">
      <c r="A39" t="s">
        <v>157</v>
      </c>
      <c r="B39" s="3">
        <v>53.5</v>
      </c>
      <c r="C39" s="3">
        <v>6.6</v>
      </c>
      <c r="D39" s="8">
        <v>39</v>
      </c>
    </row>
    <row r="40" spans="1:4" ht="15.75" customHeight="1" x14ac:dyDescent="0.15">
      <c r="A40" t="s">
        <v>155</v>
      </c>
      <c r="B40" s="3">
        <v>53.2</v>
      </c>
      <c r="C40" s="3">
        <v>8.1999999999999993</v>
      </c>
      <c r="D40" s="8">
        <v>41</v>
      </c>
    </row>
    <row r="41" spans="1:4" ht="15.75" customHeight="1" x14ac:dyDescent="0.15">
      <c r="A41" t="s">
        <v>156</v>
      </c>
      <c r="B41" s="3">
        <v>54.4</v>
      </c>
      <c r="C41" s="3">
        <v>6.5</v>
      </c>
      <c r="D41" s="8">
        <v>40</v>
      </c>
    </row>
    <row r="42" spans="1:4" ht="15.75" customHeight="1" x14ac:dyDescent="0.15">
      <c r="A42" t="s">
        <v>154</v>
      </c>
      <c r="B42" s="3">
        <v>53.9</v>
      </c>
      <c r="C42" s="3">
        <v>6.4</v>
      </c>
      <c r="D42" s="8">
        <v>40</v>
      </c>
    </row>
    <row r="43" spans="1:4" ht="15.75" customHeight="1" x14ac:dyDescent="0.15">
      <c r="A43" t="s">
        <v>158</v>
      </c>
      <c r="B43" s="3">
        <v>54.7</v>
      </c>
      <c r="C43" s="3">
        <v>8.5</v>
      </c>
      <c r="D43" s="8">
        <v>40</v>
      </c>
    </row>
    <row r="44" spans="1:4" ht="15.75" customHeight="1" x14ac:dyDescent="0.15">
      <c r="A44" t="s">
        <v>164</v>
      </c>
      <c r="B44" s="3">
        <v>94</v>
      </c>
      <c r="C44" s="3">
        <v>9.6999999999999993</v>
      </c>
      <c r="D44" s="8">
        <v>40</v>
      </c>
    </row>
    <row r="45" spans="1:4" ht="15.75" customHeight="1" x14ac:dyDescent="0.15">
      <c r="A45" t="s">
        <v>162</v>
      </c>
      <c r="B45" s="3">
        <v>93.1</v>
      </c>
      <c r="C45" s="3">
        <v>9.6999999999999993</v>
      </c>
      <c r="D45" s="8">
        <v>39</v>
      </c>
    </row>
    <row r="46" spans="1:4" ht="15.75" customHeight="1" x14ac:dyDescent="0.15">
      <c r="A46" t="s">
        <v>163</v>
      </c>
      <c r="B46" s="3">
        <v>93.5</v>
      </c>
      <c r="C46" s="3">
        <v>9.1</v>
      </c>
      <c r="D46" s="8">
        <v>40</v>
      </c>
    </row>
    <row r="47" spans="1:4" ht="15.75" customHeight="1" x14ac:dyDescent="0.15">
      <c r="A47" t="s">
        <v>161</v>
      </c>
      <c r="B47" s="3">
        <v>94.5</v>
      </c>
      <c r="C47" s="3">
        <v>11.9</v>
      </c>
      <c r="D47" s="8">
        <v>40</v>
      </c>
    </row>
    <row r="48" spans="1:4" ht="15.75" customHeight="1" x14ac:dyDescent="0.15">
      <c r="A48" t="s">
        <v>165</v>
      </c>
      <c r="B48" s="3">
        <v>94.7</v>
      </c>
      <c r="C48" s="3">
        <v>8.4</v>
      </c>
      <c r="D48" s="8">
        <v>40</v>
      </c>
    </row>
    <row r="49" spans="1:1" ht="15.75" customHeight="1" x14ac:dyDescent="0.15"/>
    <row r="50" spans="1:1" ht="15.75" customHeight="1" x14ac:dyDescent="0.15">
      <c r="A50" t="s">
        <v>222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52"/>
  <sheetViews>
    <sheetView zoomScaleNormal="100" workbookViewId="0"/>
  </sheetViews>
  <sheetFormatPr baseColWidth="10" defaultColWidth="14.5" defaultRowHeight="15" customHeight="1" x14ac:dyDescent="0.15"/>
  <cols>
    <col min="1" max="14" width="8.6640625" customWidth="1"/>
  </cols>
  <sheetData>
    <row r="1" spans="1:14" ht="15" customHeight="1" x14ac:dyDescent="0.15">
      <c r="A1" t="s">
        <v>234</v>
      </c>
    </row>
    <row r="2" spans="1:14" ht="15" customHeight="1" x14ac:dyDescent="0.15">
      <c r="A2" s="1" t="s">
        <v>90</v>
      </c>
      <c r="B2" s="1" t="s">
        <v>91</v>
      </c>
      <c r="C2" s="1" t="s">
        <v>96</v>
      </c>
      <c r="D2" s="1" t="s">
        <v>235</v>
      </c>
      <c r="E2" s="1" t="s">
        <v>236</v>
      </c>
      <c r="F2" s="1" t="s">
        <v>237</v>
      </c>
      <c r="G2" s="1" t="s">
        <v>238</v>
      </c>
      <c r="H2" s="1" t="s">
        <v>239</v>
      </c>
      <c r="I2" s="1" t="s">
        <v>240</v>
      </c>
      <c r="J2" s="1" t="s">
        <v>241</v>
      </c>
      <c r="K2" s="1" t="s">
        <v>242</v>
      </c>
      <c r="L2" s="1" t="s">
        <v>243</v>
      </c>
      <c r="M2" s="1" t="s">
        <v>244</v>
      </c>
      <c r="N2" s="1" t="s">
        <v>245</v>
      </c>
    </row>
    <row r="3" spans="1:14" ht="15" customHeight="1" x14ac:dyDescent="0.15">
      <c r="A3" t="s">
        <v>105</v>
      </c>
      <c r="B3" t="s">
        <v>105</v>
      </c>
      <c r="C3" s="8">
        <v>57</v>
      </c>
      <c r="D3" s="2">
        <v>0.86599999999999999</v>
      </c>
      <c r="E3" s="2">
        <v>1.1563000000000001</v>
      </c>
      <c r="F3" s="2">
        <f>Corpus!E3/(Corpus!E3+Corpus!F3)</f>
        <v>0.77019230769230762</v>
      </c>
      <c r="G3" s="2">
        <f>Corpus!E3/(Corpus!E3-Corpus!F3)</f>
        <v>1.4252669039145907</v>
      </c>
      <c r="H3" s="4">
        <v>0.316</v>
      </c>
      <c r="I3" s="8">
        <v>0</v>
      </c>
      <c r="J3" s="4">
        <v>1</v>
      </c>
      <c r="K3" s="2">
        <v>1</v>
      </c>
      <c r="L3" s="2">
        <v>1</v>
      </c>
      <c r="M3" s="2">
        <f>IF(Corpus!Q3="None",1,Corpus!N3/Corpus!H3)</f>
        <v>1</v>
      </c>
      <c r="N3" s="2">
        <f>IF(Corpus!Q3="None",1,Corpus!J3/Corpus!H3)</f>
        <v>1</v>
      </c>
    </row>
    <row r="4" spans="1:14" ht="15" customHeight="1" x14ac:dyDescent="0.15">
      <c r="A4" t="s">
        <v>108</v>
      </c>
      <c r="B4" t="s">
        <v>109</v>
      </c>
      <c r="C4" s="8">
        <v>57</v>
      </c>
      <c r="D4" s="2">
        <v>0.88670000000000004</v>
      </c>
      <c r="E4" s="2">
        <v>1.1253</v>
      </c>
      <c r="F4" s="2">
        <f>Corpus!E4/(Corpus!E4+Corpus!F4)</f>
        <v>0.82195448460508691</v>
      </c>
      <c r="G4" s="2">
        <f>Corpus!E4/(Corpus!E4-Corpus!F4)</f>
        <v>1.2765072765072767</v>
      </c>
      <c r="H4" s="4">
        <v>0.28100000000000003</v>
      </c>
      <c r="I4" s="8">
        <v>0</v>
      </c>
      <c r="J4" s="4">
        <v>1</v>
      </c>
      <c r="K4" s="2">
        <v>1</v>
      </c>
      <c r="L4" s="2">
        <v>1</v>
      </c>
      <c r="M4" s="2">
        <f>IF(Corpus!Q4="None",1,Corpus!N4/Corpus!H4)</f>
        <v>1</v>
      </c>
      <c r="N4" s="2">
        <f>IF(Corpus!Q4="None",1,Corpus!J4/Corpus!H4)</f>
        <v>1</v>
      </c>
    </row>
    <row r="5" spans="1:14" ht="15" customHeight="1" x14ac:dyDescent="0.15">
      <c r="A5" t="s">
        <v>111</v>
      </c>
      <c r="B5" t="s">
        <v>111</v>
      </c>
      <c r="C5" s="8">
        <v>57</v>
      </c>
      <c r="D5" s="2">
        <v>0.88329999999999997</v>
      </c>
      <c r="E5" s="2">
        <v>1.1249</v>
      </c>
      <c r="F5" s="2">
        <f>Corpus!E5/(Corpus!E5+Corpus!F5)</f>
        <v>0.81291172595520422</v>
      </c>
      <c r="G5" s="2">
        <f>Corpus!E5/(Corpus!E5-Corpus!F5)</f>
        <v>1.2989473684210526</v>
      </c>
      <c r="H5" s="4">
        <v>0.38600000000000001</v>
      </c>
      <c r="I5" s="8">
        <v>43</v>
      </c>
      <c r="J5" s="4">
        <v>2.2290000000000001</v>
      </c>
      <c r="K5" s="2">
        <v>0.97250000000000003</v>
      </c>
      <c r="L5" s="2">
        <v>1.0356000000000001</v>
      </c>
      <c r="M5" s="2">
        <f>IF(Corpus!Q5="None",1,Corpus!N5/Corpus!H5)</f>
        <v>0.51569506726457393</v>
      </c>
      <c r="N5" s="2">
        <f>IF(Corpus!Q5="None",1,Corpus!J5/Corpus!H5)</f>
        <v>1.4843049327354261</v>
      </c>
    </row>
    <row r="6" spans="1:14" ht="15" customHeight="1" x14ac:dyDescent="0.15">
      <c r="A6" t="s">
        <v>113</v>
      </c>
      <c r="B6" t="s">
        <v>113</v>
      </c>
      <c r="C6" s="8">
        <v>57</v>
      </c>
      <c r="D6" s="2">
        <v>0.88990000000000002</v>
      </c>
      <c r="E6" s="2">
        <v>1.1298999999999999</v>
      </c>
      <c r="F6" s="2">
        <f>Corpus!E6/(Corpus!E6+Corpus!F6)</f>
        <v>0.8074369189907038</v>
      </c>
      <c r="G6" s="2">
        <f>Corpus!E6/(Corpus!E6-Corpus!F6)</f>
        <v>1.3131749460043196</v>
      </c>
      <c r="H6" s="4">
        <v>0.28100000000000003</v>
      </c>
      <c r="I6" s="8">
        <v>37</v>
      </c>
      <c r="J6" s="4">
        <v>3.8380000000000001</v>
      </c>
      <c r="K6" s="2">
        <v>0.88749999999999996</v>
      </c>
      <c r="L6" s="2">
        <v>1.046</v>
      </c>
      <c r="M6" s="2">
        <f>IF(Corpus!Q6="None",1,Corpus!N6/Corpus!H6)</f>
        <v>0.42447916666666663</v>
      </c>
      <c r="N6" s="2">
        <f>IF(Corpus!Q6="None",1,Corpus!J6/Corpus!H6)</f>
        <v>1.5130208333333333</v>
      </c>
    </row>
    <row r="7" spans="1:14" ht="15" customHeight="1" x14ac:dyDescent="0.15">
      <c r="A7" t="s">
        <v>115</v>
      </c>
      <c r="B7" t="s">
        <v>115</v>
      </c>
      <c r="C7" s="8">
        <v>56</v>
      </c>
      <c r="D7" s="2">
        <v>0.88819999999999999</v>
      </c>
      <c r="E7" s="2">
        <v>1.1202000000000001</v>
      </c>
      <c r="F7" s="2">
        <f>Corpus!E7/(Corpus!E7+Corpus!F7)</f>
        <v>0.81264916467780424</v>
      </c>
      <c r="G7" s="2">
        <f>Corpus!E7/(Corpus!E7-Corpus!F7)</f>
        <v>1.2996183206106871</v>
      </c>
      <c r="H7" s="4">
        <v>0.35699999999999998</v>
      </c>
      <c r="I7" s="8">
        <v>32</v>
      </c>
      <c r="J7" s="4">
        <v>6.1159999999999997</v>
      </c>
      <c r="K7" s="2">
        <v>0.95099999999999996</v>
      </c>
      <c r="L7" s="2">
        <v>1.0592999999999999</v>
      </c>
      <c r="M7" s="2">
        <f>IF(Corpus!Q7="None",1,Corpus!N7/Corpus!H7)</f>
        <v>0.52941176470588236</v>
      </c>
      <c r="N7" s="2">
        <f>IF(Corpus!Q7="None",1,Corpus!J7/Corpus!H7)</f>
        <v>1.4869281045751632</v>
      </c>
    </row>
    <row r="8" spans="1:14" ht="15" customHeight="1" x14ac:dyDescent="0.15">
      <c r="A8" t="s">
        <v>117</v>
      </c>
      <c r="B8" t="s">
        <v>117</v>
      </c>
      <c r="C8" s="8">
        <v>56</v>
      </c>
      <c r="D8" s="2">
        <v>0.9</v>
      </c>
      <c r="E8" s="2">
        <v>1.1394</v>
      </c>
      <c r="F8" s="2">
        <f>Corpus!E8/(Corpus!E8+Corpus!F8)</f>
        <v>0.79254658385093169</v>
      </c>
      <c r="G8" s="2">
        <f>Corpus!E8/(Corpus!E8-Corpus!F8)</f>
        <v>1.3545647558386413</v>
      </c>
      <c r="H8" s="4">
        <v>0.32100000000000001</v>
      </c>
      <c r="I8" s="8">
        <v>38</v>
      </c>
      <c r="J8" s="4">
        <v>3.7490000000000001</v>
      </c>
      <c r="K8" s="2">
        <v>0.94289999999999996</v>
      </c>
      <c r="L8" s="2">
        <v>1.079</v>
      </c>
      <c r="M8" s="2">
        <f>IF(Corpus!Q8="None",1,Corpus!N8/Corpus!H8)</f>
        <v>0.4453333333333333</v>
      </c>
      <c r="N8" s="2">
        <f>IF(Corpus!Q8="None",1,Corpus!J8/Corpus!H8)</f>
        <v>1.5386666666666666</v>
      </c>
    </row>
    <row r="9" spans="1:14" ht="15" customHeight="1" x14ac:dyDescent="0.15">
      <c r="A9" t="s">
        <v>119</v>
      </c>
      <c r="B9" t="s">
        <v>120</v>
      </c>
      <c r="C9" s="8">
        <v>57</v>
      </c>
      <c r="D9" s="2">
        <v>0.89070000000000005</v>
      </c>
      <c r="E9" s="2">
        <v>1.1051</v>
      </c>
      <c r="F9" s="2">
        <f>Corpus!E9/(Corpus!E9+Corpus!F9)</f>
        <v>0.90303030303030307</v>
      </c>
      <c r="G9" s="2">
        <f>Corpus!E9/(Corpus!E9-Corpus!F9)</f>
        <v>1.1203007518796992</v>
      </c>
      <c r="H9" s="4">
        <v>0.316</v>
      </c>
      <c r="I9" s="8">
        <v>0</v>
      </c>
      <c r="J9" s="4">
        <v>1</v>
      </c>
      <c r="K9" s="2">
        <v>1</v>
      </c>
      <c r="L9" s="2">
        <v>1</v>
      </c>
      <c r="M9" s="2">
        <f>IF(Corpus!Q9="None",1,Corpus!N9/Corpus!H9)</f>
        <v>1</v>
      </c>
      <c r="N9" s="2">
        <f>IF(Corpus!Q9="None",1,Corpus!J9/Corpus!H9)</f>
        <v>1</v>
      </c>
    </row>
    <row r="10" spans="1:14" ht="15" customHeight="1" x14ac:dyDescent="0.15">
      <c r="A10" t="s">
        <v>121</v>
      </c>
      <c r="B10" t="s">
        <v>121</v>
      </c>
      <c r="C10" s="8">
        <v>57</v>
      </c>
      <c r="D10" s="2">
        <v>0.89910000000000001</v>
      </c>
      <c r="E10" s="2">
        <v>1.1178999999999999</v>
      </c>
      <c r="F10" s="2">
        <f>Corpus!E10/(Corpus!E10+Corpus!F10)</f>
        <v>0.90476190476190477</v>
      </c>
      <c r="G10" s="2">
        <f>Corpus!E10/(Corpus!E10-Corpus!F10)</f>
        <v>1.1176470588235294</v>
      </c>
      <c r="H10" s="4">
        <v>0.316</v>
      </c>
      <c r="I10" s="8">
        <v>39</v>
      </c>
      <c r="J10" s="4">
        <v>1.667</v>
      </c>
      <c r="K10" s="2">
        <v>0.97789999999999999</v>
      </c>
      <c r="L10" s="2">
        <v>1.0318000000000001</v>
      </c>
      <c r="M10" s="2">
        <f>IF(Corpus!Q10="None",1,Corpus!N10/Corpus!H10)</f>
        <v>0.6107784431137725</v>
      </c>
      <c r="N10" s="2">
        <f>IF(Corpus!Q10="None",1,Corpus!J10/Corpus!H10)</f>
        <v>1.1317365269461077</v>
      </c>
    </row>
    <row r="11" spans="1:14" ht="15" customHeight="1" x14ac:dyDescent="0.15">
      <c r="A11" t="s">
        <v>122</v>
      </c>
      <c r="B11" t="s">
        <v>122</v>
      </c>
      <c r="C11" s="8">
        <v>57</v>
      </c>
      <c r="D11" s="2">
        <v>0.89980000000000004</v>
      </c>
      <c r="E11" s="2">
        <v>1.1138999999999999</v>
      </c>
      <c r="F11" s="2">
        <f>Corpus!E11/(Corpus!E11+Corpus!F11)</f>
        <v>0.90186915887850461</v>
      </c>
      <c r="G11" s="2">
        <f>Corpus!E11/(Corpus!E11-Corpus!F11)</f>
        <v>1.1220930232558139</v>
      </c>
      <c r="H11" s="4">
        <v>0.29799999999999999</v>
      </c>
      <c r="I11" s="8">
        <v>39</v>
      </c>
      <c r="J11" s="4">
        <v>1.8380000000000001</v>
      </c>
      <c r="K11" s="2">
        <v>0.98380000000000001</v>
      </c>
      <c r="L11" s="2">
        <v>1.0163</v>
      </c>
      <c r="M11" s="2">
        <f>IF(Corpus!Q11="None",1,Corpus!N11/Corpus!H11)</f>
        <v>0.58152173913043481</v>
      </c>
      <c r="N11" s="2">
        <f>IF(Corpus!Q11="None",1,Corpus!J11/Corpus!H11)</f>
        <v>1.2336956521739131</v>
      </c>
    </row>
    <row r="12" spans="1:14" ht="15" customHeight="1" x14ac:dyDescent="0.15">
      <c r="A12" t="s">
        <v>123</v>
      </c>
      <c r="B12" t="s">
        <v>123</v>
      </c>
      <c r="C12" s="8">
        <v>56</v>
      </c>
      <c r="D12" s="2">
        <v>0.89949999999999997</v>
      </c>
      <c r="E12" s="2">
        <v>1.101</v>
      </c>
      <c r="F12" s="2">
        <f>Corpus!E12/(Corpus!E12+Corpus!F12)</f>
        <v>0.89984350547730829</v>
      </c>
      <c r="G12" s="2">
        <f>Corpus!E12/(Corpus!E12-Corpus!F12)</f>
        <v>1.1252446183953033</v>
      </c>
      <c r="H12" s="4">
        <v>0.33900000000000002</v>
      </c>
      <c r="I12" s="8">
        <v>39</v>
      </c>
      <c r="J12" s="4">
        <v>2.0289999999999999</v>
      </c>
      <c r="K12" s="2">
        <v>0.96460000000000001</v>
      </c>
      <c r="L12" s="2">
        <v>1.0078</v>
      </c>
      <c r="M12" s="2">
        <f>IF(Corpus!Q12="None",1,Corpus!N12/Corpus!H12)</f>
        <v>0.53694581280788189</v>
      </c>
      <c r="N12" s="2">
        <f>IF(Corpus!Q12="None",1,Corpus!J12/Corpus!H12)</f>
        <v>1.1773399014778327</v>
      </c>
    </row>
    <row r="13" spans="1:14" ht="15" customHeight="1" x14ac:dyDescent="0.15">
      <c r="A13" t="s">
        <v>124</v>
      </c>
      <c r="B13" t="s">
        <v>124</v>
      </c>
      <c r="C13" s="8">
        <v>56</v>
      </c>
      <c r="D13" s="2">
        <v>0.90159999999999996</v>
      </c>
      <c r="E13" s="2">
        <v>1.1161000000000001</v>
      </c>
      <c r="F13" s="2">
        <f>Corpus!E13/(Corpus!E13+Corpus!F13)</f>
        <v>0.8954545454545455</v>
      </c>
      <c r="G13" s="2">
        <f>Corpus!E13/(Corpus!E13-Corpus!F13)</f>
        <v>1.132183908045977</v>
      </c>
      <c r="H13" s="4">
        <v>0.28599999999999998</v>
      </c>
      <c r="I13" s="8">
        <v>34</v>
      </c>
      <c r="J13" s="4">
        <v>3.2250000000000001</v>
      </c>
      <c r="K13" s="2">
        <v>0.92679999999999996</v>
      </c>
      <c r="L13" s="2">
        <v>1.0230999999999999</v>
      </c>
      <c r="M13" s="2">
        <f>IF(Corpus!Q13="None",1,Corpus!N13/Corpus!H13)</f>
        <v>0.45962732919254656</v>
      </c>
      <c r="N13" s="2">
        <f>IF(Corpus!Q13="None",1,Corpus!J13/Corpus!H13)</f>
        <v>1.1149068322981366</v>
      </c>
    </row>
    <row r="14" spans="1:14" ht="15" customHeight="1" x14ac:dyDescent="0.15">
      <c r="A14" t="s">
        <v>125</v>
      </c>
      <c r="B14" t="s">
        <v>126</v>
      </c>
      <c r="C14" s="8">
        <v>57</v>
      </c>
      <c r="D14" s="2">
        <v>0.89139999999999997</v>
      </c>
      <c r="E14" s="2">
        <v>1.1140000000000001</v>
      </c>
      <c r="F14" s="2">
        <f>Corpus!E14/(Corpus!E14+Corpus!F14)</f>
        <v>0.89332572732458648</v>
      </c>
      <c r="G14" s="2">
        <f>Corpus!E14/(Corpus!E14-Corpus!F14)</f>
        <v>1.135605511240029</v>
      </c>
      <c r="H14" s="4">
        <v>0.28100000000000003</v>
      </c>
      <c r="I14" s="8">
        <v>0</v>
      </c>
      <c r="J14" s="4">
        <v>1</v>
      </c>
      <c r="K14" s="2">
        <v>1</v>
      </c>
      <c r="L14" s="2">
        <v>1</v>
      </c>
      <c r="M14" s="2">
        <f>IF(Corpus!Q14="None",1,Corpus!N14/Corpus!H14)</f>
        <v>1</v>
      </c>
      <c r="N14" s="2">
        <f>IF(Corpus!Q14="None",1,Corpus!J14/Corpus!H14)</f>
        <v>1</v>
      </c>
    </row>
    <row r="15" spans="1:14" ht="15" customHeight="1" x14ac:dyDescent="0.15">
      <c r="A15" t="s">
        <v>127</v>
      </c>
      <c r="B15" t="s">
        <v>127</v>
      </c>
      <c r="C15" s="8">
        <v>57</v>
      </c>
      <c r="D15" s="2">
        <v>0.89910000000000001</v>
      </c>
      <c r="E15" s="2">
        <v>1.1292</v>
      </c>
      <c r="F15" s="2">
        <f>Corpus!E15/(Corpus!E15+Corpus!F15)</f>
        <v>0.8928157589803013</v>
      </c>
      <c r="G15" s="2">
        <f>Corpus!E15/(Corpus!E15-Corpus!F15)</f>
        <v>1.1364306784660767</v>
      </c>
      <c r="H15" s="4">
        <v>0.36799999999999999</v>
      </c>
      <c r="I15" s="8">
        <v>40</v>
      </c>
      <c r="J15" s="4">
        <v>1.609</v>
      </c>
      <c r="K15" s="2">
        <v>0.98870000000000002</v>
      </c>
      <c r="L15" s="2">
        <v>1.0186999999999999</v>
      </c>
      <c r="M15" s="2">
        <f>IF(Corpus!Q15="None",1,Corpus!N15/Corpus!H15)</f>
        <v>0.63354037267080743</v>
      </c>
      <c r="N15" s="2">
        <f>IF(Corpus!Q15="None",1,Corpus!J15/Corpus!H15)</f>
        <v>1.0745341614906831</v>
      </c>
    </row>
    <row r="16" spans="1:14" ht="15" customHeight="1" x14ac:dyDescent="0.15">
      <c r="A16" t="s">
        <v>128</v>
      </c>
      <c r="B16" t="s">
        <v>128</v>
      </c>
      <c r="C16" s="8">
        <v>57</v>
      </c>
      <c r="D16" s="2">
        <v>0.89949999999999997</v>
      </c>
      <c r="E16" s="2">
        <v>1.1093999999999999</v>
      </c>
      <c r="F16" s="2">
        <f>Corpus!E16/(Corpus!E16+Corpus!F16)</f>
        <v>0.87327981651376152</v>
      </c>
      <c r="G16" s="2">
        <f>Corpus!E16/(Corpus!E16-Corpus!F16)</f>
        <v>1.1697388632872503</v>
      </c>
      <c r="H16" s="4">
        <v>0.246</v>
      </c>
      <c r="I16" s="8">
        <v>40</v>
      </c>
      <c r="J16" s="4">
        <v>1.8320000000000001</v>
      </c>
      <c r="K16" s="2">
        <v>0.9849</v>
      </c>
      <c r="L16" s="2">
        <v>1.0170999999999999</v>
      </c>
      <c r="M16" s="2">
        <f>IF(Corpus!Q16="None",1,Corpus!N16/Corpus!H16)</f>
        <v>0.58469945355191255</v>
      </c>
      <c r="N16" s="2">
        <f>IF(Corpus!Q16="None",1,Corpus!J16/Corpus!H16)</f>
        <v>1.081967213114754</v>
      </c>
    </row>
    <row r="17" spans="1:14" ht="15" customHeight="1" x14ac:dyDescent="0.15">
      <c r="A17" t="s">
        <v>129</v>
      </c>
      <c r="B17" t="s">
        <v>129</v>
      </c>
      <c r="C17" s="8">
        <v>56</v>
      </c>
      <c r="D17" s="2">
        <v>0.88029999999999997</v>
      </c>
      <c r="E17" s="2">
        <v>1.1087</v>
      </c>
      <c r="F17" s="2">
        <f>Corpus!E17/(Corpus!E17+Corpus!F17)</f>
        <v>0.88838008013737835</v>
      </c>
      <c r="G17" s="2">
        <f>Corpus!E17/(Corpus!E17-Corpus!F17)</f>
        <v>1.1436993367722919</v>
      </c>
      <c r="H17" s="4">
        <v>0.33900000000000002</v>
      </c>
      <c r="I17" s="8">
        <v>39</v>
      </c>
      <c r="J17" s="4">
        <v>1.968</v>
      </c>
      <c r="K17" s="2">
        <v>0.96650000000000003</v>
      </c>
      <c r="L17" s="2">
        <v>1.0241</v>
      </c>
      <c r="M17" s="2">
        <f>IF(Corpus!Q17="None",1,Corpus!N17/Corpus!H17)</f>
        <v>0.55837563451776651</v>
      </c>
      <c r="N17" s="2">
        <f>IF(Corpus!Q17="None",1,Corpus!J17/Corpus!H17)</f>
        <v>1.0659898477157361</v>
      </c>
    </row>
    <row r="18" spans="1:14" ht="15" customHeight="1" x14ac:dyDescent="0.15">
      <c r="A18" t="s">
        <v>130</v>
      </c>
      <c r="B18" t="s">
        <v>130</v>
      </c>
      <c r="C18" s="8">
        <v>56</v>
      </c>
      <c r="D18" s="2">
        <v>0.89929999999999999</v>
      </c>
      <c r="E18" s="2">
        <v>1.1415999999999999</v>
      </c>
      <c r="F18" s="2">
        <f>Corpus!E18/(Corpus!E18+Corpus!F18)</f>
        <v>0.88587896253602294</v>
      </c>
      <c r="G18" s="2">
        <f>Corpus!E18/(Corpus!E18-Corpus!F18)</f>
        <v>1.1478715459297986</v>
      </c>
      <c r="H18" s="4">
        <v>0.375</v>
      </c>
      <c r="I18" s="8">
        <v>39</v>
      </c>
      <c r="J18" s="4">
        <v>3.6949999999999998</v>
      </c>
      <c r="K18" s="2">
        <v>0.95960000000000001</v>
      </c>
      <c r="L18" s="2">
        <v>1.0228999999999999</v>
      </c>
      <c r="M18" s="2">
        <f>IF(Corpus!Q18="None",1,Corpus!N18/Corpus!H18)</f>
        <v>0.5486486486486486</v>
      </c>
      <c r="N18" s="2">
        <f>IF(Corpus!Q18="None",1,Corpus!J18/Corpus!H18)</f>
        <v>1.1081081081081079</v>
      </c>
    </row>
    <row r="19" spans="1:14" ht="15" customHeight="1" x14ac:dyDescent="0.15">
      <c r="A19" t="s">
        <v>131</v>
      </c>
      <c r="B19" t="s">
        <v>132</v>
      </c>
      <c r="C19" s="8">
        <v>57</v>
      </c>
      <c r="D19" s="2">
        <v>0.89870000000000005</v>
      </c>
      <c r="E19" s="2">
        <v>1.1107</v>
      </c>
      <c r="F19" s="2">
        <f>Corpus!E19/(Corpus!E19+Corpus!F19)</f>
        <v>0.88587641866330391</v>
      </c>
      <c r="G19" s="2">
        <f>Corpus!E19/(Corpus!E19-Corpus!F19)</f>
        <v>1.147875816993464</v>
      </c>
      <c r="H19" s="4">
        <v>0.246</v>
      </c>
      <c r="I19" s="8">
        <v>0</v>
      </c>
      <c r="J19" s="4">
        <v>1</v>
      </c>
      <c r="K19" s="2">
        <v>1</v>
      </c>
      <c r="L19" s="2">
        <v>1</v>
      </c>
      <c r="M19" s="2">
        <f>IF(Corpus!Q19="None",1,Corpus!N19/Corpus!H19)</f>
        <v>1</v>
      </c>
      <c r="N19" s="2">
        <f>IF(Corpus!Q19="None",1,Corpus!J19/Corpus!H19)</f>
        <v>1</v>
      </c>
    </row>
    <row r="20" spans="1:14" ht="15" customHeight="1" x14ac:dyDescent="0.15">
      <c r="A20" t="s">
        <v>133</v>
      </c>
      <c r="B20" t="s">
        <v>133</v>
      </c>
      <c r="C20" s="8">
        <v>57</v>
      </c>
      <c r="D20" s="2">
        <v>0.9022</v>
      </c>
      <c r="E20" s="2">
        <v>1.111</v>
      </c>
      <c r="F20" s="2">
        <f>Corpus!E20/(Corpus!E20+Corpus!F20)</f>
        <v>0.90561056105610549</v>
      </c>
      <c r="G20" s="2">
        <f>Corpus!E20/(Corpus!E20-Corpus!F20)</f>
        <v>1.1163547599674533</v>
      </c>
      <c r="H20" s="4">
        <v>0.21099999999999999</v>
      </c>
      <c r="I20" s="8">
        <v>40</v>
      </c>
      <c r="J20" s="4">
        <v>1.4359999999999999</v>
      </c>
      <c r="K20" s="2">
        <v>0.97989999999999999</v>
      </c>
      <c r="L20" s="2">
        <v>1.0185</v>
      </c>
      <c r="M20" s="2">
        <f>IF(Corpus!Q20="None",1,Corpus!N20/Corpus!H20)</f>
        <v>0.70138888888888895</v>
      </c>
      <c r="N20" s="2">
        <f>IF(Corpus!Q20="None",1,Corpus!J20/Corpus!H20)</f>
        <v>1.0486111111111112</v>
      </c>
    </row>
    <row r="21" spans="1:14" ht="15.75" customHeight="1" x14ac:dyDescent="0.15">
      <c r="A21" t="s">
        <v>134</v>
      </c>
      <c r="B21" t="s">
        <v>134</v>
      </c>
      <c r="C21" s="8">
        <v>57</v>
      </c>
      <c r="D21" s="2">
        <v>0.90029999999999999</v>
      </c>
      <c r="E21" s="2">
        <v>1.1104000000000001</v>
      </c>
      <c r="F21" s="2">
        <f>Corpus!E21/(Corpus!E21+Corpus!F21)</f>
        <v>0.89993416721527331</v>
      </c>
      <c r="G21" s="2">
        <f>Corpus!E21/(Corpus!E21-Corpus!F21)</f>
        <v>1.1251028806584362</v>
      </c>
      <c r="H21" s="4">
        <v>0.35099999999999998</v>
      </c>
      <c r="I21" s="8">
        <v>40</v>
      </c>
      <c r="J21" s="4">
        <v>1.665</v>
      </c>
      <c r="K21" s="2">
        <v>0.98770000000000002</v>
      </c>
      <c r="L21" s="2">
        <v>1.0956999999999999</v>
      </c>
      <c r="M21" s="2">
        <f>IF(Corpus!Q21="None",1,Corpus!N21/Corpus!H21)</f>
        <v>0.64670658682634741</v>
      </c>
      <c r="N21" s="2">
        <f>IF(Corpus!Q21="None",1,Corpus!J21/Corpus!H21)</f>
        <v>1.0658682634730539</v>
      </c>
    </row>
    <row r="22" spans="1:14" ht="15.75" customHeight="1" x14ac:dyDescent="0.15">
      <c r="A22" t="s">
        <v>135</v>
      </c>
      <c r="B22" t="s">
        <v>135</v>
      </c>
      <c r="C22" s="8">
        <v>56</v>
      </c>
      <c r="D22" s="2">
        <v>0.89939999999999998</v>
      </c>
      <c r="E22" s="2">
        <v>1.1045</v>
      </c>
      <c r="F22" s="2">
        <f>Corpus!E22/(Corpus!E22+Corpus!F22)</f>
        <v>0.91228070175438591</v>
      </c>
      <c r="G22" s="2">
        <f>Corpus!E22/(Corpus!E22-Corpus!F22)</f>
        <v>1.1063829787234043</v>
      </c>
      <c r="H22" s="4">
        <v>0.26800000000000002</v>
      </c>
      <c r="I22" s="8">
        <v>39</v>
      </c>
      <c r="J22" s="4">
        <v>2.911</v>
      </c>
      <c r="K22" s="2">
        <v>0.9627</v>
      </c>
      <c r="L22" s="2">
        <v>1.0404</v>
      </c>
      <c r="M22" s="2">
        <f>IF(Corpus!Q22="None",1,Corpus!N22/Corpus!H22)</f>
        <v>0.42955326460481097</v>
      </c>
      <c r="N22" s="2">
        <f>IF(Corpus!Q22="None",1,Corpus!J22/Corpus!H22)</f>
        <v>0.91065292096219919</v>
      </c>
    </row>
    <row r="23" spans="1:14" ht="15.75" customHeight="1" x14ac:dyDescent="0.15">
      <c r="A23" t="s">
        <v>136</v>
      </c>
      <c r="B23" t="s">
        <v>136</v>
      </c>
      <c r="C23" s="8">
        <v>23</v>
      </c>
      <c r="D23" s="2">
        <v>0.85609999999999997</v>
      </c>
      <c r="E23" s="2">
        <v>1.1887000000000001</v>
      </c>
      <c r="F23" s="2">
        <f>Corpus!E23/(Corpus!E23+Corpus!F23)</f>
        <v>0.85033598045204639</v>
      </c>
      <c r="G23" s="2">
        <f>Corpus!E23/(Corpus!E23-Corpus!F23)</f>
        <v>1.2136006974716653</v>
      </c>
      <c r="H23" s="4">
        <v>0.26100000000000001</v>
      </c>
      <c r="I23" s="8">
        <v>26</v>
      </c>
      <c r="J23" s="4">
        <v>12.493</v>
      </c>
      <c r="K23" s="2">
        <v>0.7802</v>
      </c>
      <c r="L23" s="2">
        <v>1.2568999999999999</v>
      </c>
      <c r="M23" s="2">
        <f>IF(Corpus!Q23="None",1,Corpus!N23/Corpus!H23)</f>
        <v>0.29703763010408324</v>
      </c>
      <c r="N23" s="2">
        <f>IF(Corpus!Q23="None",1,Corpus!J23/Corpus!H23)</f>
        <v>1.0008006405124099</v>
      </c>
    </row>
    <row r="24" spans="1:14" ht="15.75" customHeight="1" x14ac:dyDescent="0.15">
      <c r="A24" t="s">
        <v>137</v>
      </c>
      <c r="B24" t="s">
        <v>138</v>
      </c>
      <c r="C24" s="8">
        <v>57</v>
      </c>
      <c r="D24" s="2">
        <v>0.89329999999999998</v>
      </c>
      <c r="E24" s="2">
        <v>1.1286</v>
      </c>
      <c r="F24" s="2">
        <f>Corpus!E24/(Corpus!E24+Corpus!F24)</f>
        <v>0.87132725430597768</v>
      </c>
      <c r="G24" s="2">
        <f>Corpus!E24/(Corpus!E24-Corpus!F24)</f>
        <v>1.1732605729877217</v>
      </c>
      <c r="H24" s="4">
        <v>0.246</v>
      </c>
      <c r="I24" s="8">
        <v>0</v>
      </c>
      <c r="J24" s="4">
        <v>1</v>
      </c>
      <c r="K24" s="2">
        <v>1</v>
      </c>
      <c r="L24" s="2">
        <v>1</v>
      </c>
      <c r="M24" s="2">
        <f>IF(Corpus!Q24="None",1,Corpus!N24/Corpus!H24)</f>
        <v>1</v>
      </c>
      <c r="N24" s="2">
        <f>IF(Corpus!Q24="None",1,Corpus!J24/Corpus!H24)</f>
        <v>1</v>
      </c>
    </row>
    <row r="25" spans="1:14" ht="15.75" customHeight="1" x14ac:dyDescent="0.15">
      <c r="A25" t="s">
        <v>139</v>
      </c>
      <c r="B25" t="s">
        <v>139</v>
      </c>
      <c r="C25" s="8">
        <v>57</v>
      </c>
      <c r="D25" s="2">
        <v>0.89559999999999995</v>
      </c>
      <c r="E25" s="2">
        <v>1.1064000000000001</v>
      </c>
      <c r="F25" s="2">
        <f>Corpus!E25/(Corpus!E25+Corpus!F25)</f>
        <v>0.84963099630996308</v>
      </c>
      <c r="G25" s="2">
        <f>Corpus!E25/(Corpus!E25-Corpus!F25)</f>
        <v>1.2150395778364116</v>
      </c>
      <c r="H25" s="4">
        <v>0.21099999999999999</v>
      </c>
      <c r="I25" s="8">
        <v>40</v>
      </c>
      <c r="J25" s="4">
        <v>1.347</v>
      </c>
      <c r="K25" s="2">
        <v>0.99129999999999996</v>
      </c>
      <c r="L25" s="2">
        <v>1.0137</v>
      </c>
      <c r="M25" s="2">
        <f>IF(Corpus!Q25="None",1,Corpus!N25/Corpus!H25)</f>
        <v>0.74814814814814812</v>
      </c>
      <c r="N25" s="2">
        <f>IF(Corpus!Q25="None",1,Corpus!J25/Corpus!H25)</f>
        <v>1.0444444444444443</v>
      </c>
    </row>
    <row r="26" spans="1:14" ht="15.75" customHeight="1" x14ac:dyDescent="0.15">
      <c r="A26" t="s">
        <v>140</v>
      </c>
      <c r="B26" t="s">
        <v>140</v>
      </c>
      <c r="C26" s="8">
        <v>57</v>
      </c>
      <c r="D26" s="2">
        <v>0.87760000000000005</v>
      </c>
      <c r="E26" s="2">
        <v>1.1056999999999999</v>
      </c>
      <c r="F26" s="2">
        <f>Corpus!E26/(Corpus!E26+Corpus!F26)</f>
        <v>0.89681774349083898</v>
      </c>
      <c r="G26" s="2">
        <f>Corpus!E26/(Corpus!E26-Corpus!F26)</f>
        <v>1.1300121506682868</v>
      </c>
      <c r="H26" s="4">
        <v>0.316</v>
      </c>
      <c r="I26" s="8">
        <v>40</v>
      </c>
      <c r="J26" s="4">
        <v>1.7470000000000001</v>
      </c>
      <c r="K26" s="2">
        <v>0.97330000000000005</v>
      </c>
      <c r="L26" s="2">
        <v>1.0297000000000001</v>
      </c>
      <c r="M26" s="2">
        <f>IF(Corpus!Q26="None",1,Corpus!N26/Corpus!H26)</f>
        <v>0.60571428571428576</v>
      </c>
      <c r="N26" s="2">
        <f>IF(Corpus!Q26="None",1,Corpus!J26/Corpus!H26)</f>
        <v>0.97714285714285709</v>
      </c>
    </row>
    <row r="27" spans="1:14" ht="15.75" customHeight="1" x14ac:dyDescent="0.15">
      <c r="A27" t="s">
        <v>141</v>
      </c>
      <c r="B27" t="s">
        <v>141</v>
      </c>
      <c r="C27" s="8">
        <v>56</v>
      </c>
      <c r="D27" s="2">
        <v>0.88990000000000002</v>
      </c>
      <c r="E27" s="2">
        <v>1.1001000000000001</v>
      </c>
      <c r="F27" s="2">
        <f>Corpus!E27/(Corpus!E27+Corpus!F27)</f>
        <v>0.89207258834766001</v>
      </c>
      <c r="G27" s="2">
        <f>Corpus!E27/(Corpus!E27-Corpus!F27)</f>
        <v>1.1376370280146162</v>
      </c>
      <c r="H27" s="4">
        <v>0.28599999999999998</v>
      </c>
      <c r="I27" s="8">
        <v>39</v>
      </c>
      <c r="J27" s="4">
        <v>2.1960000000000002</v>
      </c>
      <c r="K27" s="2">
        <v>0.97050000000000003</v>
      </c>
      <c r="L27" s="2">
        <v>1.0693999999999999</v>
      </c>
      <c r="M27" s="2">
        <f>IF(Corpus!Q27="None",1,Corpus!N27/Corpus!H27)</f>
        <v>0.55909090909090908</v>
      </c>
      <c r="N27" s="2">
        <f>IF(Corpus!Q27="None",1,Corpus!J27/Corpus!H27)</f>
        <v>1.0818181818181818</v>
      </c>
    </row>
    <row r="28" spans="1:14" ht="15.75" customHeight="1" x14ac:dyDescent="0.15">
      <c r="A28" t="s">
        <v>142</v>
      </c>
      <c r="B28" t="s">
        <v>142</v>
      </c>
      <c r="C28" s="8">
        <v>44</v>
      </c>
      <c r="D28" s="2">
        <v>0.90359999999999996</v>
      </c>
      <c r="E28" s="2">
        <v>1.1253</v>
      </c>
      <c r="F28" s="2">
        <f>Corpus!E28/(Corpus!E28+Corpus!F28)</f>
        <v>0.90444654683065284</v>
      </c>
      <c r="G28" s="2">
        <f>Corpus!E28/(Corpus!E28-Corpus!F28)</f>
        <v>1.1181286549707601</v>
      </c>
      <c r="H28" s="4">
        <v>0.27300000000000002</v>
      </c>
      <c r="I28" s="8">
        <v>39</v>
      </c>
      <c r="J28" s="4">
        <v>3.8849999999999998</v>
      </c>
      <c r="K28" s="2">
        <v>0.94610000000000005</v>
      </c>
      <c r="L28" s="2">
        <v>1.0914999999999999</v>
      </c>
      <c r="M28" s="2">
        <f>IF(Corpus!Q28="None",1,Corpus!N28/Corpus!H28)</f>
        <v>0.37017994858611825</v>
      </c>
      <c r="N28" s="2">
        <f>IF(Corpus!Q28="None",1,Corpus!J28/Corpus!H28)</f>
        <v>1.0411311053984575</v>
      </c>
    </row>
    <row r="29" spans="1:14" ht="15.75" customHeight="1" x14ac:dyDescent="0.15">
      <c r="A29" t="s">
        <v>143</v>
      </c>
      <c r="B29" t="s">
        <v>143</v>
      </c>
      <c r="C29" s="8">
        <v>57</v>
      </c>
      <c r="D29" s="2">
        <v>0.89029999999999998</v>
      </c>
      <c r="E29" s="2">
        <v>1.1136999999999999</v>
      </c>
      <c r="F29" s="2">
        <f>Corpus!E29/(Corpus!E29+Corpus!F29)</f>
        <v>0.86875891583452214</v>
      </c>
      <c r="G29" s="2">
        <f>Corpus!E29/(Corpus!E29-Corpus!F29)</f>
        <v>1.1779497098646035</v>
      </c>
      <c r="H29" s="4">
        <v>0.33300000000000002</v>
      </c>
      <c r="I29" s="8">
        <v>39</v>
      </c>
      <c r="J29" s="4">
        <v>1.708</v>
      </c>
      <c r="K29" s="2">
        <v>0.95140000000000002</v>
      </c>
      <c r="L29" s="2">
        <v>1.1034999999999999</v>
      </c>
      <c r="M29" s="2">
        <f>IF(Corpus!Q29="None",1,Corpus!N29/Corpus!H29)</f>
        <v>0.59649122807017552</v>
      </c>
      <c r="N29" s="2">
        <f>IF(Corpus!Q29="None",1,Corpus!J29/Corpus!H29)</f>
        <v>1.2105263157894737</v>
      </c>
    </row>
    <row r="30" spans="1:14" ht="15.75" customHeight="1" x14ac:dyDescent="0.15">
      <c r="A30" t="s">
        <v>145</v>
      </c>
      <c r="B30" t="s">
        <v>145</v>
      </c>
      <c r="C30" s="8">
        <v>57</v>
      </c>
      <c r="D30" s="2">
        <v>0.89570000000000005</v>
      </c>
      <c r="E30" s="2">
        <v>1.1174999999999999</v>
      </c>
      <c r="F30" s="2">
        <f>Corpus!E30/(Corpus!E30+Corpus!F30)</f>
        <v>0.87679083094555876</v>
      </c>
      <c r="G30" s="2">
        <f>Corpus!E30/(Corpus!E30-Corpus!F30)</f>
        <v>1.1634980988593155</v>
      </c>
      <c r="H30" s="4">
        <v>0.33300000000000002</v>
      </c>
      <c r="I30" s="8">
        <v>39</v>
      </c>
      <c r="J30" s="4">
        <v>1.448</v>
      </c>
      <c r="K30" s="2">
        <v>0.9768</v>
      </c>
      <c r="L30" s="2">
        <v>1.0135000000000001</v>
      </c>
      <c r="M30" s="2">
        <f>IF(Corpus!Q30="None",1,Corpus!N30/Corpus!H30)</f>
        <v>0.69655172413793109</v>
      </c>
      <c r="N30" s="2">
        <f>IF(Corpus!Q30="None",1,Corpus!J30/Corpus!H30)</f>
        <v>1.1310344827586207</v>
      </c>
    </row>
    <row r="31" spans="1:14" ht="15.75" customHeight="1" x14ac:dyDescent="0.15">
      <c r="A31" t="s">
        <v>146</v>
      </c>
      <c r="B31" t="s">
        <v>146</v>
      </c>
      <c r="C31" s="8">
        <v>57</v>
      </c>
      <c r="D31" s="2">
        <v>0.88339999999999996</v>
      </c>
      <c r="E31" s="2">
        <v>1.1052</v>
      </c>
      <c r="F31" s="2">
        <f>Corpus!E31/(Corpus!E31+Corpus!F31)</f>
        <v>0.87092198581560276</v>
      </c>
      <c r="G31" s="2">
        <f>Corpus!E31/(Corpus!E31-Corpus!F31)</f>
        <v>1.1739961759082218</v>
      </c>
      <c r="H31" s="4">
        <v>0.35099999999999998</v>
      </c>
      <c r="I31" s="8">
        <v>39</v>
      </c>
      <c r="J31" s="4">
        <v>1.6919999999999999</v>
      </c>
      <c r="K31" s="2">
        <v>0.97219999999999995</v>
      </c>
      <c r="L31" s="2">
        <v>1.1574</v>
      </c>
      <c r="M31" s="2">
        <f>IF(Corpus!Q31="None",1,Corpus!N31/Corpus!H31)</f>
        <v>0.60355029585798825</v>
      </c>
      <c r="N31" s="2">
        <f>IF(Corpus!Q31="None",1,Corpus!J31/Corpus!H31)</f>
        <v>1.1893491124260354</v>
      </c>
    </row>
    <row r="32" spans="1:14" ht="15.75" customHeight="1" x14ac:dyDescent="0.15">
      <c r="A32" t="s">
        <v>147</v>
      </c>
      <c r="B32" t="s">
        <v>147</v>
      </c>
      <c r="C32" s="8">
        <v>56</v>
      </c>
      <c r="D32" s="2">
        <v>0.8901</v>
      </c>
      <c r="E32" s="2">
        <v>1.1104000000000001</v>
      </c>
      <c r="F32" s="2">
        <f>Corpus!E32/(Corpus!E32+Corpus!F32)</f>
        <v>0.87234042553191493</v>
      </c>
      <c r="G32" s="2">
        <f>Corpus!E32/(Corpus!E32-Corpus!F32)</f>
        <v>1.1714285714285715</v>
      </c>
      <c r="H32" s="4">
        <v>0.39300000000000002</v>
      </c>
      <c r="I32" s="8">
        <v>39</v>
      </c>
      <c r="J32" s="4">
        <v>2.3889999999999998</v>
      </c>
      <c r="K32" s="2">
        <v>0.97509999999999997</v>
      </c>
      <c r="L32" s="2">
        <v>1.0128999999999999</v>
      </c>
      <c r="M32" s="2">
        <f>IF(Corpus!Q32="None",1,Corpus!N32/Corpus!H32)</f>
        <v>0.47698744769874468</v>
      </c>
      <c r="N32" s="2">
        <f>IF(Corpus!Q32="None",1,Corpus!J32/Corpus!H32)</f>
        <v>1.2510460251046025</v>
      </c>
    </row>
    <row r="33" spans="1:14" ht="15.75" customHeight="1" x14ac:dyDescent="0.15">
      <c r="A33" t="s">
        <v>148</v>
      </c>
      <c r="B33" t="s">
        <v>148</v>
      </c>
      <c r="C33" s="8">
        <v>56</v>
      </c>
      <c r="D33" s="2">
        <v>0.89200000000000002</v>
      </c>
      <c r="E33" s="2">
        <v>1.1056999999999999</v>
      </c>
      <c r="F33" s="2">
        <f>Corpus!E33/(Corpus!E33+Corpus!F33)</f>
        <v>0.86115007012622724</v>
      </c>
      <c r="G33" s="2">
        <f>Corpus!E33/(Corpus!E33-Corpus!F33)</f>
        <v>1.1922330097087379</v>
      </c>
      <c r="H33" s="4">
        <v>0.33900000000000002</v>
      </c>
      <c r="I33" s="8">
        <v>38</v>
      </c>
      <c r="J33" s="4">
        <v>2.4590000000000001</v>
      </c>
      <c r="K33" s="2">
        <v>0.96760000000000002</v>
      </c>
      <c r="L33" s="2">
        <v>1.1021000000000001</v>
      </c>
      <c r="M33" s="2">
        <f>IF(Corpus!Q33="None",1,Corpus!N33/Corpus!H33)</f>
        <v>0.52439024390243905</v>
      </c>
      <c r="N33" s="2">
        <f>IF(Corpus!Q33="None",1,Corpus!J33/Corpus!H33)</f>
        <v>1.4308943089430894</v>
      </c>
    </row>
    <row r="34" spans="1:14" ht="15.75" customHeight="1" x14ac:dyDescent="0.15">
      <c r="A34" t="s">
        <v>149</v>
      </c>
      <c r="B34" t="s">
        <v>149</v>
      </c>
      <c r="C34" s="8">
        <v>41</v>
      </c>
      <c r="D34" s="2">
        <v>0.88149999999999995</v>
      </c>
      <c r="E34" s="2">
        <v>1.1126</v>
      </c>
      <c r="F34" s="2">
        <f>Corpus!E34/(Corpus!E34+Corpus!F34)</f>
        <v>0.86526743398781314</v>
      </c>
      <c r="G34" s="2">
        <f>Corpus!E34/(Corpus!E34-Corpus!F34)</f>
        <v>1.1844300278035218</v>
      </c>
      <c r="H34" s="4">
        <v>0.26800000000000002</v>
      </c>
      <c r="I34" s="8">
        <v>40</v>
      </c>
      <c r="J34" s="4">
        <v>1.5980000000000001</v>
      </c>
      <c r="K34" s="2">
        <v>0.98599999999999999</v>
      </c>
      <c r="L34" s="2">
        <v>1.0228999999999999</v>
      </c>
      <c r="M34" s="2">
        <f>IF(Corpus!Q34="None",1,Corpus!N34/Corpus!H34)</f>
        <v>0.64374999999999993</v>
      </c>
      <c r="N34" s="2">
        <f>IF(Corpus!Q34="None",1,Corpus!J34/Corpus!H34)</f>
        <v>1.2749999999999999</v>
      </c>
    </row>
    <row r="35" spans="1:14" ht="15.75" customHeight="1" x14ac:dyDescent="0.15">
      <c r="A35" t="s">
        <v>150</v>
      </c>
      <c r="B35" t="s">
        <v>150</v>
      </c>
      <c r="C35" s="8">
        <v>41</v>
      </c>
      <c r="D35" s="2">
        <v>0.88470000000000004</v>
      </c>
      <c r="E35" s="2">
        <v>1.1121000000000001</v>
      </c>
      <c r="F35" s="2">
        <f>Corpus!E35/(Corpus!E35+Corpus!F35)</f>
        <v>0.8603573792190603</v>
      </c>
      <c r="G35" s="2">
        <f>Corpus!E35/(Corpus!E35-Corpus!F35)</f>
        <v>1.1937557392102847</v>
      </c>
      <c r="H35" s="4">
        <v>0.22</v>
      </c>
      <c r="I35" s="8">
        <v>40</v>
      </c>
      <c r="J35" s="4">
        <v>1.4279999999999999</v>
      </c>
      <c r="K35" s="2">
        <v>0.99470000000000003</v>
      </c>
      <c r="L35" s="2">
        <v>1.0208999999999999</v>
      </c>
      <c r="M35" s="2">
        <f>IF(Corpus!Q35="None",1,Corpus!N35/Corpus!H35)</f>
        <v>0.71328671328671334</v>
      </c>
      <c r="N35" s="2">
        <f>IF(Corpus!Q35="None",1,Corpus!J35/Corpus!H35)</f>
        <v>1.2097902097902098</v>
      </c>
    </row>
    <row r="36" spans="1:14" ht="15.75" customHeight="1" x14ac:dyDescent="0.15">
      <c r="A36" t="s">
        <v>151</v>
      </c>
      <c r="B36" t="s">
        <v>151</v>
      </c>
      <c r="C36" s="8">
        <v>41</v>
      </c>
      <c r="D36" s="2">
        <v>0.87709999999999999</v>
      </c>
      <c r="E36" s="2">
        <v>1.1027</v>
      </c>
      <c r="F36" s="2">
        <f>Corpus!E36/(Corpus!E36+Corpus!F36)</f>
        <v>0.82277710109622415</v>
      </c>
      <c r="G36" s="2">
        <f>Corpus!E36/(Corpus!E36-Corpus!F36)</f>
        <v>1.2745283018867923</v>
      </c>
      <c r="H36" s="4">
        <v>0.24399999999999999</v>
      </c>
      <c r="I36" s="8">
        <v>40</v>
      </c>
      <c r="J36" s="4">
        <v>1.583</v>
      </c>
      <c r="K36" s="2">
        <v>0.99070000000000003</v>
      </c>
      <c r="L36" s="2">
        <v>1.0184</v>
      </c>
      <c r="M36" s="2">
        <f>IF(Corpus!Q36="None",1,Corpus!N36/Corpus!H36)</f>
        <v>0.65189873417721522</v>
      </c>
      <c r="N36" s="2">
        <f>IF(Corpus!Q36="None",1,Corpus!J36/Corpus!H36)</f>
        <v>1.2468354430379747</v>
      </c>
    </row>
    <row r="37" spans="1:14" ht="15.75" customHeight="1" x14ac:dyDescent="0.15">
      <c r="A37" t="s">
        <v>152</v>
      </c>
      <c r="B37" t="s">
        <v>152</v>
      </c>
      <c r="C37" s="8">
        <v>41</v>
      </c>
      <c r="D37" s="2">
        <v>0.89400000000000002</v>
      </c>
      <c r="E37" s="2">
        <v>1.1213</v>
      </c>
      <c r="F37" s="2">
        <f>Corpus!E37/(Corpus!E37+Corpus!F37)</f>
        <v>0.88069705093833772</v>
      </c>
      <c r="G37" s="2">
        <f>Corpus!E37/(Corpus!E37-Corpus!F37)</f>
        <v>1.1566901408450705</v>
      </c>
      <c r="H37" s="4">
        <v>0.29299999999999998</v>
      </c>
      <c r="I37" s="8">
        <v>40</v>
      </c>
      <c r="J37" s="4">
        <v>2.0960000000000001</v>
      </c>
      <c r="K37" s="2">
        <v>0.96130000000000004</v>
      </c>
      <c r="L37" s="2">
        <v>1.0726</v>
      </c>
      <c r="M37" s="2">
        <f>IF(Corpus!Q37="None",1,Corpus!N37/Corpus!H37)</f>
        <v>0.52380952380952384</v>
      </c>
      <c r="N37" s="2">
        <f>IF(Corpus!Q37="None",1,Corpus!J37/Corpus!H37)</f>
        <v>1.1333333333333333</v>
      </c>
    </row>
    <row r="38" spans="1:14" ht="15.75" customHeight="1" x14ac:dyDescent="0.15">
      <c r="A38" t="s">
        <v>153</v>
      </c>
      <c r="B38" t="s">
        <v>153</v>
      </c>
      <c r="C38" s="8">
        <v>41</v>
      </c>
      <c r="D38" s="2">
        <v>0.90069999999999995</v>
      </c>
      <c r="E38" s="2">
        <v>1.1299999999999999</v>
      </c>
      <c r="F38" s="2">
        <f>Corpus!E38/(Corpus!E38+Corpus!F38)</f>
        <v>0.86502659574468077</v>
      </c>
      <c r="G38" s="2">
        <f>Corpus!E38/(Corpus!E38-Corpus!F38)</f>
        <v>1.1848816029143898</v>
      </c>
      <c r="H38" s="4">
        <v>0.24399999999999999</v>
      </c>
      <c r="I38" s="8">
        <v>39</v>
      </c>
      <c r="J38" s="4">
        <v>2.58</v>
      </c>
      <c r="K38" s="2">
        <v>0.96550000000000002</v>
      </c>
      <c r="L38" s="2">
        <v>1.0339</v>
      </c>
      <c r="M38" s="2">
        <f>IF(Corpus!Q38="None",1,Corpus!N38/Corpus!H38)</f>
        <v>0.47286821705426352</v>
      </c>
      <c r="N38" s="2">
        <f>IF(Corpus!Q38="None",1,Corpus!J38/Corpus!H38)</f>
        <v>1.3294573643410852</v>
      </c>
    </row>
    <row r="39" spans="1:14" ht="15.75" customHeight="1" x14ac:dyDescent="0.15">
      <c r="A39" t="s">
        <v>154</v>
      </c>
      <c r="B39" t="s">
        <v>154</v>
      </c>
      <c r="C39" s="8">
        <v>40</v>
      </c>
      <c r="D39" s="2">
        <v>0.89339999999999997</v>
      </c>
      <c r="E39" s="2">
        <v>1.1057999999999999</v>
      </c>
      <c r="F39" s="2">
        <f>Corpus!E39/(Corpus!E39+Corpus!F39)</f>
        <v>0.89386401326699838</v>
      </c>
      <c r="G39" s="2">
        <f>Corpus!E39/(Corpus!E39-Corpus!F39)</f>
        <v>1.134736842105263</v>
      </c>
      <c r="H39" s="4">
        <v>0.35</v>
      </c>
      <c r="I39" s="8">
        <v>40</v>
      </c>
      <c r="J39" s="4">
        <v>1.4370000000000001</v>
      </c>
      <c r="K39" s="2">
        <v>0.98129999999999995</v>
      </c>
      <c r="L39" s="2">
        <v>1.0104</v>
      </c>
      <c r="M39" s="2">
        <f>IF(Corpus!Q39="None",1,Corpus!N39/Corpus!H39)</f>
        <v>0.70833333333333337</v>
      </c>
      <c r="N39" s="2">
        <f>IF(Corpus!Q39="None",1,Corpus!J39/Corpus!H39)</f>
        <v>1.25</v>
      </c>
    </row>
    <row r="40" spans="1:14" ht="15.75" customHeight="1" x14ac:dyDescent="0.15">
      <c r="A40" t="s">
        <v>155</v>
      </c>
      <c r="B40" t="s">
        <v>155</v>
      </c>
      <c r="C40" s="8">
        <v>41</v>
      </c>
      <c r="D40" s="2">
        <v>0.89339999999999997</v>
      </c>
      <c r="E40" s="2">
        <v>1.1204000000000001</v>
      </c>
      <c r="F40" s="2">
        <f>Corpus!E40/(Corpus!E40+Corpus!F40)</f>
        <v>0.86644951140065141</v>
      </c>
      <c r="G40" s="2">
        <f>Corpus!E40/(Corpus!E40-Corpus!F40)</f>
        <v>1.1822222222222223</v>
      </c>
      <c r="H40" s="4">
        <v>0.317</v>
      </c>
      <c r="I40" s="8">
        <v>40</v>
      </c>
      <c r="J40" s="4">
        <v>1.359</v>
      </c>
      <c r="K40" s="2">
        <v>0.98750000000000004</v>
      </c>
      <c r="L40" s="2">
        <v>1.0124</v>
      </c>
      <c r="M40" s="2">
        <f>IF(Corpus!Q40="None",1,Corpus!N40/Corpus!H40)</f>
        <v>0.74264705882352933</v>
      </c>
      <c r="N40" s="2">
        <f>IF(Corpus!Q40="None",1,Corpus!J40/Corpus!H40)</f>
        <v>1.1985294117647056</v>
      </c>
    </row>
    <row r="41" spans="1:14" ht="15.75" customHeight="1" x14ac:dyDescent="0.15">
      <c r="A41" t="s">
        <v>156</v>
      </c>
      <c r="B41" t="s">
        <v>156</v>
      </c>
      <c r="C41" s="8">
        <v>40</v>
      </c>
      <c r="D41" s="2">
        <v>0.87460000000000004</v>
      </c>
      <c r="E41" s="2">
        <v>1.0989</v>
      </c>
      <c r="F41" s="2">
        <f>Corpus!E41/(Corpus!E41+Corpus!F41)</f>
        <v>0.89326765188834156</v>
      </c>
      <c r="G41" s="2">
        <f>Corpus!E41/(Corpus!E41-Corpus!F41)</f>
        <v>1.1356993736951984</v>
      </c>
      <c r="H41" s="4">
        <v>0.375</v>
      </c>
      <c r="I41" s="8">
        <v>39</v>
      </c>
      <c r="J41" s="4">
        <v>1.4730000000000001</v>
      </c>
      <c r="K41" s="2">
        <v>0.98260000000000003</v>
      </c>
      <c r="L41" s="2">
        <v>1.0123</v>
      </c>
      <c r="M41" s="2">
        <f>IF(Corpus!Q41="None",1,Corpus!N41/Corpus!H41)</f>
        <v>0.69387755102040816</v>
      </c>
      <c r="N41" s="2">
        <f>IF(Corpus!Q41="None",1,Corpus!J41/Corpus!H41)</f>
        <v>1.1972789115646258</v>
      </c>
    </row>
    <row r="42" spans="1:14" ht="15.75" customHeight="1" x14ac:dyDescent="0.15">
      <c r="A42" t="s">
        <v>157</v>
      </c>
      <c r="B42" t="s">
        <v>157</v>
      </c>
      <c r="C42" s="8">
        <v>39</v>
      </c>
      <c r="D42" s="2">
        <v>0.89510000000000001</v>
      </c>
      <c r="E42" s="2">
        <v>1.1205000000000001</v>
      </c>
      <c r="F42" s="2">
        <f>Corpus!E42/(Corpus!E42+Corpus!F42)</f>
        <v>0.89018302828618967</v>
      </c>
      <c r="G42" s="2">
        <f>Corpus!E42/(Corpus!E42-Corpus!F42)</f>
        <v>1.1407249466950959</v>
      </c>
      <c r="H42" s="4">
        <v>0.308</v>
      </c>
      <c r="I42" s="8">
        <v>39</v>
      </c>
      <c r="J42" s="4">
        <v>1.641</v>
      </c>
      <c r="K42" s="2">
        <v>0.98519999999999996</v>
      </c>
      <c r="L42" s="2">
        <v>1.0106999999999999</v>
      </c>
      <c r="M42" s="2">
        <f>IF(Corpus!Q42="None",1,Corpus!N42/Corpus!H42)</f>
        <v>0.64634146341463417</v>
      </c>
      <c r="N42" s="2">
        <f>IF(Corpus!Q42="None",1,Corpus!J42/Corpus!H42)</f>
        <v>1.2439024390243902</v>
      </c>
    </row>
    <row r="43" spans="1:14" ht="15.75" customHeight="1" x14ac:dyDescent="0.15">
      <c r="A43" t="s">
        <v>158</v>
      </c>
      <c r="B43" t="s">
        <v>158</v>
      </c>
      <c r="C43" s="8">
        <v>40</v>
      </c>
      <c r="D43" s="2">
        <v>0.85729999999999995</v>
      </c>
      <c r="E43" s="2">
        <v>1.1035999999999999</v>
      </c>
      <c r="F43" s="2">
        <f>Corpus!E43/(Corpus!E43+Corpus!F43)</f>
        <v>0.86550632911392411</v>
      </c>
      <c r="G43" s="2">
        <f>Corpus!E43/(Corpus!E43-Corpus!F43)</f>
        <v>1.1839826839826839</v>
      </c>
      <c r="H43" s="4">
        <v>0.3</v>
      </c>
      <c r="I43" s="8">
        <v>39</v>
      </c>
      <c r="J43" s="4">
        <v>1.9139999999999999</v>
      </c>
      <c r="K43" s="2">
        <v>0.97489999999999999</v>
      </c>
      <c r="L43" s="2">
        <v>1.0488999999999999</v>
      </c>
      <c r="M43" s="2">
        <f>IF(Corpus!Q43="None",1,Corpus!N43/Corpus!H43)</f>
        <v>0.60209424083769636</v>
      </c>
      <c r="N43" s="2">
        <f>IF(Corpus!Q43="None",1,Corpus!J43/Corpus!H43)</f>
        <v>1.1151832460732984</v>
      </c>
    </row>
    <row r="44" spans="1:14" ht="15.75" customHeight="1" x14ac:dyDescent="0.15">
      <c r="A44" t="s">
        <v>159</v>
      </c>
      <c r="B44" t="s">
        <v>158</v>
      </c>
      <c r="C44" s="8">
        <v>40</v>
      </c>
      <c r="D44" s="2">
        <v>0.85729999999999995</v>
      </c>
      <c r="E44" s="2">
        <v>1.1072</v>
      </c>
      <c r="F44" s="2">
        <f>Corpus!E44/(Corpus!E44+Corpus!F44)</f>
        <v>0.86550632911392411</v>
      </c>
      <c r="G44" s="2">
        <f>Corpus!E44/(Corpus!E44-Corpus!F44)</f>
        <v>1.1839826839826839</v>
      </c>
      <c r="H44" s="4">
        <v>0.3</v>
      </c>
      <c r="I44" s="8">
        <v>39</v>
      </c>
      <c r="J44" s="4">
        <v>1.9139999999999999</v>
      </c>
      <c r="K44" s="2">
        <v>0.97489999999999999</v>
      </c>
      <c r="L44" s="2">
        <v>1.0488999999999999</v>
      </c>
      <c r="M44" s="2">
        <f>IF(Corpus!Q44="None",1,Corpus!N44/Corpus!H44)</f>
        <v>0.60209424083769636</v>
      </c>
      <c r="N44" s="2">
        <f>IF(Corpus!Q44="None",1,Corpus!J44/Corpus!H44)</f>
        <v>1.1151832460732984</v>
      </c>
    </row>
    <row r="45" spans="1:14" ht="15.75" customHeight="1" x14ac:dyDescent="0.15">
      <c r="A45" t="s">
        <v>161</v>
      </c>
      <c r="B45" t="s">
        <v>161</v>
      </c>
      <c r="C45" s="8">
        <v>40</v>
      </c>
      <c r="D45" s="2">
        <v>0.8911</v>
      </c>
      <c r="E45" s="2">
        <v>1.1173999999999999</v>
      </c>
      <c r="F45" s="2">
        <f>Corpus!E45/(Corpus!E45+Corpus!F45)</f>
        <v>0.88815789473684204</v>
      </c>
      <c r="G45" s="2">
        <f>Corpus!E45/(Corpus!E45-Corpus!F45)</f>
        <v>1.1440677966101696</v>
      </c>
      <c r="H45" s="4">
        <v>0.3</v>
      </c>
      <c r="I45" s="8">
        <v>40</v>
      </c>
      <c r="J45" s="4">
        <v>1.3819999999999999</v>
      </c>
      <c r="K45" s="2">
        <v>0.98980000000000001</v>
      </c>
      <c r="L45" s="2">
        <v>1.0321</v>
      </c>
      <c r="M45" s="2">
        <f>IF(Corpus!Q45="None",1,Corpus!N45/Corpus!H45)</f>
        <v>0.73188405797101452</v>
      </c>
      <c r="N45" s="2">
        <f>IF(Corpus!Q45="None",1,Corpus!J45/Corpus!H45)</f>
        <v>1.1594202898550727</v>
      </c>
    </row>
    <row r="46" spans="1:14" ht="15.75" customHeight="1" x14ac:dyDescent="0.15">
      <c r="A46" t="s">
        <v>162</v>
      </c>
      <c r="B46" t="s">
        <v>162</v>
      </c>
      <c r="C46" s="8">
        <v>39</v>
      </c>
      <c r="D46" s="2">
        <v>0.90069999999999995</v>
      </c>
      <c r="E46" s="2">
        <v>1.1049</v>
      </c>
      <c r="F46" s="2">
        <f>Corpus!E46/(Corpus!E46+Corpus!F46)</f>
        <v>0.9056420233463035</v>
      </c>
      <c r="G46" s="2">
        <f>Corpus!E46/(Corpus!E46-Corpus!F46)</f>
        <v>1.1163069544364508</v>
      </c>
      <c r="H46" s="4">
        <v>0.33300000000000002</v>
      </c>
      <c r="I46" s="8">
        <v>40</v>
      </c>
      <c r="J46" s="4">
        <v>1.3580000000000001</v>
      </c>
      <c r="K46" s="2">
        <v>0.98399999999999999</v>
      </c>
      <c r="L46" s="2">
        <v>1.0103</v>
      </c>
      <c r="M46" s="2">
        <f>IF(Corpus!Q46="None",1,Corpus!N46/Corpus!H46)</f>
        <v>0.74264705882352933</v>
      </c>
      <c r="N46" s="2">
        <f>IF(Corpus!Q46="None",1,Corpus!J46/Corpus!H46)</f>
        <v>1.1323529411764706</v>
      </c>
    </row>
    <row r="47" spans="1:14" ht="15.75" customHeight="1" x14ac:dyDescent="0.15">
      <c r="A47" t="s">
        <v>163</v>
      </c>
      <c r="B47" t="s">
        <v>163</v>
      </c>
      <c r="C47" s="8">
        <v>40</v>
      </c>
      <c r="D47" s="2">
        <v>0.89880000000000004</v>
      </c>
      <c r="E47" s="2">
        <v>1.1045</v>
      </c>
      <c r="F47" s="2">
        <f>Corpus!E47/(Corpus!E47+Corpus!F47)</f>
        <v>0.91130604288499029</v>
      </c>
      <c r="G47" s="2">
        <f>Corpus!E47/(Corpus!E47-Corpus!F47)</f>
        <v>1.10781990521327</v>
      </c>
      <c r="H47" s="4">
        <v>0.3</v>
      </c>
      <c r="I47" s="8">
        <v>41</v>
      </c>
      <c r="J47" s="4">
        <v>1.3660000000000001</v>
      </c>
      <c r="K47" s="2">
        <v>0.98140000000000005</v>
      </c>
      <c r="L47" s="2">
        <v>1.0095000000000001</v>
      </c>
      <c r="M47" s="2">
        <f>IF(Corpus!Q47="None",1,Corpus!N47/Corpus!H47)</f>
        <v>0.73722627737226276</v>
      </c>
      <c r="N47" s="2">
        <f>IF(Corpus!Q47="None",1,Corpus!J47/Corpus!H47)</f>
        <v>1.18978102189781</v>
      </c>
    </row>
    <row r="48" spans="1:14" ht="15.75" customHeight="1" x14ac:dyDescent="0.15">
      <c r="A48" t="s">
        <v>164</v>
      </c>
      <c r="B48" t="s">
        <v>164</v>
      </c>
      <c r="C48" s="8">
        <v>40</v>
      </c>
      <c r="D48" s="2">
        <v>0.90069999999999995</v>
      </c>
      <c r="E48" s="2">
        <v>1.1279999999999999</v>
      </c>
      <c r="F48" s="2">
        <f>Corpus!E48/(Corpus!E48+Corpus!F48)</f>
        <v>0.90646094503375119</v>
      </c>
      <c r="G48" s="2">
        <f>Corpus!E48/(Corpus!E48-Corpus!F48)</f>
        <v>1.1150652431791221</v>
      </c>
      <c r="H48" s="4">
        <v>0.35</v>
      </c>
      <c r="I48" s="8">
        <v>39</v>
      </c>
      <c r="J48" s="4">
        <v>1.4450000000000001</v>
      </c>
      <c r="K48" s="2">
        <v>0.99209999999999998</v>
      </c>
      <c r="L48" s="2">
        <v>1.0109999999999999</v>
      </c>
      <c r="M48" s="2">
        <f>IF(Corpus!Q48="None",1,Corpus!N48/Corpus!H48)</f>
        <v>0.70344827586206904</v>
      </c>
      <c r="N48" s="2">
        <f>IF(Corpus!Q48="None",1,Corpus!J48/Corpus!H48)</f>
        <v>1.1448275862068966</v>
      </c>
    </row>
    <row r="49" spans="1:14" ht="15.75" customHeight="1" x14ac:dyDescent="0.15">
      <c r="A49" t="s">
        <v>165</v>
      </c>
      <c r="B49" t="s">
        <v>165</v>
      </c>
      <c r="C49" s="8">
        <v>40</v>
      </c>
      <c r="D49" s="2">
        <v>0.89170000000000005</v>
      </c>
      <c r="E49" s="2">
        <v>1.1072</v>
      </c>
      <c r="F49" s="2">
        <f>Corpus!E49/(Corpus!E49+Corpus!F49)</f>
        <v>0.91852570320077587</v>
      </c>
      <c r="G49" s="2">
        <f>Corpus!E49/(Corpus!E49-Corpus!F49)</f>
        <v>1.0973348783314021</v>
      </c>
      <c r="H49" s="4">
        <v>0.35</v>
      </c>
      <c r="I49" s="8">
        <v>39</v>
      </c>
      <c r="J49" s="4">
        <v>1.6839999999999999</v>
      </c>
      <c r="K49" s="2">
        <v>0.97460000000000002</v>
      </c>
      <c r="L49" s="2">
        <v>1.0228999999999999</v>
      </c>
      <c r="M49" s="2">
        <f>IF(Corpus!Q49="None",1,Corpus!N49/Corpus!H49)</f>
        <v>0.6428571428571429</v>
      </c>
      <c r="N49" s="2">
        <f>IF(Corpus!Q49="None",1,Corpus!J49/Corpus!H49)</f>
        <v>1.1547619047619049</v>
      </c>
    </row>
    <row r="50" spans="1:14" ht="15.75" customHeight="1" x14ac:dyDescent="0.15"/>
    <row r="51" spans="1:14" ht="15.75" customHeight="1" x14ac:dyDescent="0.15">
      <c r="A51" t="s">
        <v>246</v>
      </c>
      <c r="H51" s="4">
        <f>AVERAGE(H3:H49)</f>
        <v>0.30587234042553196</v>
      </c>
    </row>
    <row r="52" spans="1:14" ht="15.75" customHeight="1" x14ac:dyDescent="0.15">
      <c r="A52" t="s">
        <v>247</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54"/>
  <sheetViews>
    <sheetView zoomScaleNormal="100" workbookViewId="0"/>
  </sheetViews>
  <sheetFormatPr baseColWidth="10" defaultColWidth="14.5" defaultRowHeight="15" customHeight="1" x14ac:dyDescent="0.15"/>
  <cols>
    <col min="1" max="13" width="19" customWidth="1"/>
  </cols>
  <sheetData>
    <row r="1" spans="1:18" ht="15" customHeight="1" x14ac:dyDescent="0.15">
      <c r="A1" s="10" t="s">
        <v>248</v>
      </c>
      <c r="B1" s="10"/>
      <c r="C1" s="10"/>
      <c r="D1" s="10"/>
      <c r="E1" s="10"/>
      <c r="F1" s="10"/>
      <c r="G1" s="10"/>
      <c r="H1" s="10"/>
      <c r="I1" s="10"/>
      <c r="J1" s="10"/>
      <c r="K1" s="10"/>
      <c r="L1" s="10"/>
      <c r="M1" s="10"/>
    </row>
    <row r="2" spans="1:18" ht="15" customHeight="1" x14ac:dyDescent="0.15">
      <c r="A2" s="11" t="s">
        <v>167</v>
      </c>
      <c r="B2" s="11" t="s">
        <v>249</v>
      </c>
      <c r="C2" s="11" t="s">
        <v>250</v>
      </c>
      <c r="D2" s="11" t="s">
        <v>251</v>
      </c>
      <c r="E2" s="11" t="s">
        <v>252</v>
      </c>
      <c r="F2" s="11" t="s">
        <v>253</v>
      </c>
      <c r="G2" s="11" t="s">
        <v>254</v>
      </c>
      <c r="H2" s="11" t="s">
        <v>255</v>
      </c>
      <c r="I2" s="11" t="s">
        <v>256</v>
      </c>
      <c r="J2" s="11" t="s">
        <v>257</v>
      </c>
      <c r="K2" s="11" t="s">
        <v>258</v>
      </c>
      <c r="L2" s="11" t="s">
        <v>259</v>
      </c>
      <c r="M2" s="10"/>
      <c r="N2" t="s">
        <v>260</v>
      </c>
      <c r="O2" t="s">
        <v>261</v>
      </c>
      <c r="P2" t="s">
        <v>262</v>
      </c>
      <c r="Q2" t="s">
        <v>263</v>
      </c>
      <c r="R2" t="s">
        <v>264</v>
      </c>
    </row>
    <row r="3" spans="1:18" ht="15" customHeight="1" x14ac:dyDescent="0.15">
      <c r="A3" s="10" t="str">
        <f>'Table 8 - Log Widths'!A3</f>
        <v>gpt-4o-mini</v>
      </c>
      <c r="B3" s="10">
        <f>'Table 8 - Log Widths'!H3</f>
        <v>4.0399784034984076</v>
      </c>
      <c r="C3" s="10">
        <f>EXP('Table 8 - Log Widths'!$G3-'Table 8 - Log Widths'!B3)</f>
        <v>1.4476589279202625</v>
      </c>
      <c r="D3" s="10">
        <f>EXP('Table 8 - Log Widths'!$G3-'Table 8 - Log Widths'!C3)</f>
        <v>4.0399784034984076</v>
      </c>
      <c r="E3" s="10">
        <f>EXP('Table 8 - Log Widths'!$G3-'Table 8 - Log Widths'!D3)</f>
        <v>3.7261936731295995</v>
      </c>
      <c r="F3" s="10">
        <f>EXP('Table 8 - Log Widths'!$G3-'Table 8 - Log Widths'!E3)</f>
        <v>3.0257037943696452</v>
      </c>
      <c r="G3" s="10">
        <f>EXP('Table 8 - Log Widths'!$G3-'Table 8 - Log Widths'!F3)</f>
        <v>4.0399784034984076</v>
      </c>
      <c r="H3" s="10">
        <f t="shared" ref="H3:H49" si="0">B3/C3</f>
        <v>2.7906976744186052</v>
      </c>
      <c r="I3" s="10">
        <f t="shared" ref="I3:I49" si="1">B3/D3</f>
        <v>1</v>
      </c>
      <c r="J3" s="10">
        <f t="shared" ref="J3:J49" si="2">B3/E3</f>
        <v>1.0842105263157895</v>
      </c>
      <c r="K3" s="10">
        <f t="shared" ref="K3:K49" si="3">B3/F3</f>
        <v>1.3352193995381063</v>
      </c>
      <c r="L3" s="10">
        <f t="shared" ref="L3:L49" si="4">B3/G3</f>
        <v>1</v>
      </c>
      <c r="M3" s="10"/>
      <c r="N3" s="8">
        <f t="array" ref="N3">IF(AND(A3&lt;&gt;"gpt-4o-mini",INDEX(Corpus!$Q$3:$Q$60,MATCH(A3,Corpus!$A$3:$A$60,0))&lt;&gt;"None"),1,0)</f>
        <v>0</v>
      </c>
      <c r="O3" s="4">
        <f>EXP('Table 8 - Log Widths'!$G3-'Table 8 - Log Widths'!$B3-'Table 8 - Log Widths'!$C3)</f>
        <v>1.4476589279202625</v>
      </c>
      <c r="P3" s="4">
        <f>EXP('Table 8 - Log Widths'!$G3-'Table 8 - Log Widths'!$B3-'Table 8 - Log Widths'!$C3-'Table 8 - Log Widths'!$E3)</f>
        <v>1.0842105263157895</v>
      </c>
      <c r="Q3" s="4">
        <f>EXP('Table 8 - Log Widths'!$G3-'Table 8 - Log Widths'!$B3-'Table 8 - Log Widths'!$C3-'Table 8 - Log Widths'!$E3-'Table 8 - Log Widths'!$F3)</f>
        <v>1.0842105263157895</v>
      </c>
      <c r="R3" s="4">
        <f>EXP('Table 8 - Log Widths'!$G3-'Table 8 - Log Widths'!$B3-'Table 8 - Log Widths'!$C3-'Table 8 - Log Widths'!$E3-'Table 8 - Log Widths'!$F3-'Table 8 - Log Widths'!$D3)</f>
        <v>0.99999999999999989</v>
      </c>
    </row>
    <row r="4" spans="1:18" ht="15" customHeight="1" x14ac:dyDescent="0.15">
      <c r="A4" s="10" t="str">
        <f>'Table 8 - Log Widths'!A4</f>
        <v>gpt-5 (non-reasoning)</v>
      </c>
      <c r="B4" s="10">
        <f>'Table 8 - Log Widths'!H4</f>
        <v>10.722692855446974</v>
      </c>
      <c r="C4" s="10">
        <f>EXP('Table 8 - Log Widths'!$G4-'Table 8 - Log Widths'!B4)</f>
        <v>3.8422982732018323</v>
      </c>
      <c r="D4" s="10">
        <f>EXP('Table 8 - Log Widths'!$G4-'Table 8 - Log Widths'!C4)</f>
        <v>3.8398832522884434</v>
      </c>
      <c r="E4" s="10">
        <f>EXP('Table 8 - Log Widths'!$G4-'Table 8 - Log Widths'!D4)</f>
        <v>9.889862342402548</v>
      </c>
      <c r="F4" s="10">
        <f>EXP('Table 8 - Log Widths'!$G4-'Table 8 - Log Widths'!E4)</f>
        <v>8.4491351239001435</v>
      </c>
      <c r="G4" s="10">
        <f>EXP('Table 8 - Log Widths'!$G4-'Table 8 - Log Widths'!F4)</f>
        <v>10.722692855446974</v>
      </c>
      <c r="H4" s="10">
        <f t="shared" si="0"/>
        <v>2.7906976744186047</v>
      </c>
      <c r="I4" s="10">
        <f t="shared" si="1"/>
        <v>2.7924528301886791</v>
      </c>
      <c r="J4" s="10">
        <f t="shared" si="2"/>
        <v>1.0842105263157895</v>
      </c>
      <c r="K4" s="10">
        <f t="shared" si="3"/>
        <v>1.269087628284651</v>
      </c>
      <c r="L4" s="10">
        <f t="shared" si="4"/>
        <v>1</v>
      </c>
      <c r="M4" s="10"/>
      <c r="N4" s="8">
        <f t="array" ref="N4">IF(AND(A4&lt;&gt;"gpt-4o-mini",INDEX(Corpus!$Q$3:$Q$60,MATCH(A4,Corpus!$A$3:$A$60,0))&lt;&gt;"None"),1,0)</f>
        <v>0</v>
      </c>
      <c r="O4" s="4">
        <f>EXP('Table 8 - Log Widths'!$G4-'Table 8 - Log Widths'!$B4-'Table 8 - Log Widths'!$C4)</f>
        <v>1.3759581654033588</v>
      </c>
      <c r="P4" s="4">
        <f>EXP('Table 8 - Log Widths'!$G4-'Table 8 - Log Widths'!$B4-'Table 8 - Log Widths'!$C4-'Table 8 - Log Widths'!$E4)</f>
        <v>1.08421052631579</v>
      </c>
      <c r="Q4" s="4">
        <f>EXP('Table 8 - Log Widths'!$G4-'Table 8 - Log Widths'!$B4-'Table 8 - Log Widths'!$C4-'Table 8 - Log Widths'!$E4-'Table 8 - Log Widths'!$F4)</f>
        <v>1.08421052631579</v>
      </c>
      <c r="R4" s="4">
        <f>EXP('Table 8 - Log Widths'!$G4-'Table 8 - Log Widths'!$B4-'Table 8 - Log Widths'!$C4-'Table 8 - Log Widths'!$E4-'Table 8 - Log Widths'!$F4-'Table 8 - Log Widths'!$D4)</f>
        <v>1.0000000000000004</v>
      </c>
    </row>
    <row r="5" spans="1:18" ht="15" customHeight="1" x14ac:dyDescent="0.15">
      <c r="A5" s="10" t="str">
        <f>'Table 8 - Log Widths'!A5</f>
        <v>gpt-5 (low)</v>
      </c>
      <c r="B5" s="10">
        <f>'Table 8 - Log Widths'!H5</f>
        <v>11.458304882824523</v>
      </c>
      <c r="C5" s="10">
        <f>EXP('Table 8 - Log Widths'!$G5-'Table 8 - Log Widths'!B5)</f>
        <v>4.1058925830121202</v>
      </c>
      <c r="D5" s="10">
        <f>EXP('Table 8 - Log Widths'!$G5-'Table 8 - Log Widths'!C5)</f>
        <v>4.1033118837141869</v>
      </c>
      <c r="E5" s="10">
        <f>EXP('Table 8 - Log Widths'!$G5-'Table 8 - Log Widths'!D5)</f>
        <v>10.568339455032325</v>
      </c>
      <c r="F5" s="10">
        <f>EXP('Table 8 - Log Widths'!$G5-'Table 8 - Log Widths'!E5)</f>
        <v>8.9973515005768494</v>
      </c>
      <c r="G5" s="10">
        <f>EXP('Table 8 - Log Widths'!$G5-'Table 8 - Log Widths'!F5)</f>
        <v>10.760140496858678</v>
      </c>
      <c r="H5" s="10">
        <f t="shared" si="0"/>
        <v>2.7906976744186052</v>
      </c>
      <c r="I5" s="10">
        <f t="shared" si="1"/>
        <v>2.7924528301886795</v>
      </c>
      <c r="J5" s="10">
        <f t="shared" si="2"/>
        <v>1.0842105263157897</v>
      </c>
      <c r="K5" s="10">
        <f t="shared" si="3"/>
        <v>1.2735197554624706</v>
      </c>
      <c r="L5" s="10">
        <f t="shared" si="4"/>
        <v>1.064884318766067</v>
      </c>
      <c r="M5" s="10"/>
      <c r="N5" s="8">
        <f t="array" ref="N5">IF(AND(A5&lt;&gt;"gpt-4o-mini",INDEX(Corpus!$Q$3:$Q$60,MATCH(A5,Corpus!$A$3:$A$60,0))&lt;&gt;"None"),1,0)</f>
        <v>1</v>
      </c>
      <c r="O5" s="4">
        <f>EXP('Table 8 - Log Widths'!$G5-'Table 8 - Log Widths'!$B5-'Table 8 - Log Widths'!$C5)</f>
        <v>1.4703534249975836</v>
      </c>
      <c r="P5" s="4">
        <f>EXP('Table 8 - Log Widths'!$G5-'Table 8 - Log Widths'!$B5-'Table 8 - Log Widths'!$C5-'Table 8 - Log Widths'!$E5)</f>
        <v>1.1545587877147885</v>
      </c>
      <c r="Q5" s="4">
        <f>EXP('Table 8 - Log Widths'!$G5-'Table 8 - Log Widths'!$B5-'Table 8 - Log Widths'!$C5-'Table 8 - Log Widths'!$E5-'Table 8 - Log Widths'!$F5)</f>
        <v>1.0842105263157897</v>
      </c>
      <c r="R5" s="4">
        <f>EXP('Table 8 - Log Widths'!$G5-'Table 8 - Log Widths'!$B5-'Table 8 - Log Widths'!$C5-'Table 8 - Log Widths'!$E5-'Table 8 - Log Widths'!$F5-'Table 8 - Log Widths'!$D5)</f>
        <v>1.0000000000000002</v>
      </c>
    </row>
    <row r="6" spans="1:18" ht="15" customHeight="1" x14ac:dyDescent="0.15">
      <c r="A6" s="10" t="str">
        <f>'Table 8 - Log Widths'!A6</f>
        <v>gpt-5 (medium)</v>
      </c>
      <c r="B6" s="10">
        <f>'Table 8 - Log Widths'!H6</f>
        <v>12.643705754833706</v>
      </c>
      <c r="C6" s="10">
        <f>EXP('Table 8 - Log Widths'!$G6-'Table 8 - Log Widths'!B6)</f>
        <v>4.5306612288154104</v>
      </c>
      <c r="D6" s="10">
        <f>EXP('Table 8 - Log Widths'!$G6-'Table 8 - Log Widths'!C6)</f>
        <v>4.5278135473390977</v>
      </c>
      <c r="E6" s="10">
        <f>EXP('Table 8 - Log Widths'!$G6-'Table 8 - Log Widths'!D6)</f>
        <v>11.661670356400018</v>
      </c>
      <c r="F6" s="10">
        <f>EXP('Table 8 - Log Widths'!$G6-'Table 8 - Log Widths'!E6)</f>
        <v>9.9580792558868207</v>
      </c>
      <c r="G6" s="10">
        <f>EXP('Table 8 - Log Widths'!$G6-'Table 8 - Log Widths'!F6)</f>
        <v>10.727809615119417</v>
      </c>
      <c r="H6" s="10">
        <f t="shared" si="0"/>
        <v>2.7906976744186052</v>
      </c>
      <c r="I6" s="10">
        <f t="shared" si="1"/>
        <v>2.7924528301886791</v>
      </c>
      <c r="J6" s="10">
        <f t="shared" si="2"/>
        <v>1.0842105263157897</v>
      </c>
      <c r="K6" s="10">
        <f t="shared" si="3"/>
        <v>1.2696932239577476</v>
      </c>
      <c r="L6" s="10">
        <f t="shared" si="4"/>
        <v>1.178591549295775</v>
      </c>
      <c r="M6" s="10"/>
      <c r="N6" s="8">
        <f t="array" ref="N6">IF(AND(A6&lt;&gt;"gpt-4o-mini",INDEX(Corpus!$Q$3:$Q$60,MATCH(A6,Corpus!$A$3:$A$60,0))&lt;&gt;"None"),1,0)</f>
        <v>1</v>
      </c>
      <c r="O6" s="4">
        <f>EXP('Table 8 - Log Widths'!$G6-'Table 8 - Log Widths'!$B6-'Table 8 - Log Widths'!$C6)</f>
        <v>1.6224665211298432</v>
      </c>
      <c r="P6" s="4">
        <f>EXP('Table 8 - Log Widths'!$G6-'Table 8 - Log Widths'!$B6-'Table 8 - Log Widths'!$C6-'Table 8 - Log Widths'!$E6)</f>
        <v>1.2778413639733142</v>
      </c>
      <c r="Q6" s="4">
        <f>EXP('Table 8 - Log Widths'!$G6-'Table 8 - Log Widths'!$B6-'Table 8 - Log Widths'!$C6-'Table 8 - Log Widths'!$E6-'Table 8 - Log Widths'!$F6)</f>
        <v>1.0842105263157897</v>
      </c>
      <c r="R6" s="4">
        <f>EXP('Table 8 - Log Widths'!$G6-'Table 8 - Log Widths'!$B6-'Table 8 - Log Widths'!$C6-'Table 8 - Log Widths'!$E6-'Table 8 - Log Widths'!$F6-'Table 8 - Log Widths'!$D6)</f>
        <v>1.0000000000000002</v>
      </c>
    </row>
    <row r="7" spans="1:18" ht="15" customHeight="1" x14ac:dyDescent="0.15">
      <c r="A7" s="10" t="str">
        <f>'Table 8 - Log Widths'!A7</f>
        <v>gpt-5 (high)</v>
      </c>
      <c r="B7" s="10">
        <f>'Table 8 - Log Widths'!H7</f>
        <v>11.869584335104729</v>
      </c>
      <c r="C7" s="10">
        <f>EXP('Table 8 - Log Widths'!$G7-'Table 8 - Log Widths'!B7)</f>
        <v>4.2532677200791946</v>
      </c>
      <c r="D7" s="10">
        <f>EXP('Table 8 - Log Widths'!$G7-'Table 8 - Log Widths'!C7)</f>
        <v>4.2505943902739913</v>
      </c>
      <c r="E7" s="10">
        <f>EXP('Table 8 - Log Widths'!$G7-'Table 8 - Log Widths'!D7)</f>
        <v>10.947674872183972</v>
      </c>
      <c r="F7" s="10">
        <f>EXP('Table 8 - Log Widths'!$G7-'Table 8 - Log Widths'!E7)</f>
        <v>9.4113236979468144</v>
      </c>
      <c r="G7" s="10">
        <f>EXP('Table 8 - Log Widths'!$G7-'Table 8 - Log Widths'!F7)</f>
        <v>10.656069765585388</v>
      </c>
      <c r="H7" s="10">
        <f t="shared" si="0"/>
        <v>2.7906976744186047</v>
      </c>
      <c r="I7" s="10">
        <f t="shared" si="1"/>
        <v>2.7924528301886791</v>
      </c>
      <c r="J7" s="10">
        <f t="shared" si="2"/>
        <v>1.0842105263157895</v>
      </c>
      <c r="K7" s="10">
        <f t="shared" si="3"/>
        <v>1.2612024318847106</v>
      </c>
      <c r="L7" s="10">
        <f t="shared" si="4"/>
        <v>1.1138801261829649</v>
      </c>
      <c r="M7" s="10"/>
      <c r="N7" s="8">
        <f t="array" ref="N7">IF(AND(A7&lt;&gt;"gpt-4o-mini",INDEX(Corpus!$Q$3:$Q$60,MATCH(A7,Corpus!$A$3:$A$60,0))&lt;&gt;"None"),1,0)</f>
        <v>1</v>
      </c>
      <c r="O7" s="4">
        <f>EXP('Table 8 - Log Widths'!$G7-'Table 8 - Log Widths'!$B7-'Table 8 - Log Widths'!$C7)</f>
        <v>1.5231296565148467</v>
      </c>
      <c r="P7" s="4">
        <f>EXP('Table 8 - Log Widths'!$G7-'Table 8 - Log Widths'!$B7-'Table 8 - Log Widths'!$C7-'Table 8 - Log Widths'!$E7)</f>
        <v>1.2076805578615306</v>
      </c>
      <c r="Q7" s="4">
        <f>EXP('Table 8 - Log Widths'!$G7-'Table 8 - Log Widths'!$B7-'Table 8 - Log Widths'!$C7-'Table 8 - Log Widths'!$E7-'Table 8 - Log Widths'!$F7)</f>
        <v>1.0842105263157895</v>
      </c>
      <c r="R7" s="4">
        <f>EXP('Table 8 - Log Widths'!$G7-'Table 8 - Log Widths'!$B7-'Table 8 - Log Widths'!$C7-'Table 8 - Log Widths'!$E7-'Table 8 - Log Widths'!$F7-'Table 8 - Log Widths'!$D7)</f>
        <v>1</v>
      </c>
    </row>
    <row r="8" spans="1:18" ht="15" customHeight="1" x14ac:dyDescent="0.15">
      <c r="A8" s="10" t="str">
        <f>'Table 8 - Log Widths'!A8</f>
        <v>gpt-5 (xhigh)</v>
      </c>
      <c r="B8" s="10">
        <f>'Table 8 - Log Widths'!H8</f>
        <v>12.240573620892278</v>
      </c>
      <c r="C8" s="10">
        <f>EXP('Table 8 - Log Widths'!$G8-'Table 8 - Log Widths'!B8)</f>
        <v>4.3862055474863988</v>
      </c>
      <c r="D8" s="10">
        <f>EXP('Table 8 - Log Widths'!$G8-'Table 8 - Log Widths'!C8)</f>
        <v>4.3834486615357484</v>
      </c>
      <c r="E8" s="10">
        <f>EXP('Table 8 - Log Widths'!$G8-'Table 8 - Log Widths'!D8)</f>
        <v>11.289849456162779</v>
      </c>
      <c r="F8" s="10">
        <f>EXP('Table 8 - Log Widths'!$G8-'Table 8 - Log Widths'!E8)</f>
        <v>9.668699542568941</v>
      </c>
      <c r="G8" s="10">
        <f>EXP('Table 8 - Log Widths'!$G8-'Table 8 - Log Widths'!F8)</f>
        <v>10.696605066857583</v>
      </c>
      <c r="H8" s="10">
        <f t="shared" si="0"/>
        <v>2.7906976744186052</v>
      </c>
      <c r="I8" s="10">
        <f t="shared" si="1"/>
        <v>2.7924528301886791</v>
      </c>
      <c r="J8" s="10">
        <f t="shared" si="2"/>
        <v>1.0842105263157895</v>
      </c>
      <c r="K8" s="10">
        <f t="shared" si="3"/>
        <v>1.2659999999999998</v>
      </c>
      <c r="L8" s="10">
        <f t="shared" si="4"/>
        <v>1.1443419238519459</v>
      </c>
      <c r="M8" s="10"/>
      <c r="N8" s="8">
        <f t="array" ref="N8">IF(AND(A8&lt;&gt;"gpt-4o-mini",INDEX(Corpus!$Q$3:$Q$60,MATCH(A8,Corpus!$A$3:$A$60,0))&lt;&gt;"None"),1,0)</f>
        <v>1</v>
      </c>
      <c r="O8" s="4">
        <f>EXP('Table 8 - Log Widths'!$G8-'Table 8 - Log Widths'!$B8-'Table 8 - Log Widths'!$C8)</f>
        <v>1.5707357703836431</v>
      </c>
      <c r="P8" s="4">
        <f>EXP('Table 8 - Log Widths'!$G8-'Table 8 - Log Widths'!$B8-'Table 8 - Log Widths'!$C8-'Table 8 - Log Widths'!$E8)</f>
        <v>1.2407075595447417</v>
      </c>
      <c r="Q8" s="4">
        <f>EXP('Table 8 - Log Widths'!$G8-'Table 8 - Log Widths'!$B8-'Table 8 - Log Widths'!$C8-'Table 8 - Log Widths'!$E8-'Table 8 - Log Widths'!$F8)</f>
        <v>1.0842105263157895</v>
      </c>
      <c r="R8" s="4">
        <f>EXP('Table 8 - Log Widths'!$G8-'Table 8 - Log Widths'!$B8-'Table 8 - Log Widths'!$C8-'Table 8 - Log Widths'!$E8-'Table 8 - Log Widths'!$F8-'Table 8 - Log Widths'!$D8)</f>
        <v>1</v>
      </c>
    </row>
    <row r="9" spans="1:18" ht="15" customHeight="1" x14ac:dyDescent="0.15">
      <c r="A9" s="10" t="str">
        <f>'Table 8 - Log Widths'!A9</f>
        <v>gpt-5.2 (non-reasoning)</v>
      </c>
      <c r="B9" s="10">
        <f>'Table 8 - Log Widths'!H9</f>
        <v>10.48292267365224</v>
      </c>
      <c r="C9" s="10">
        <f>EXP('Table 8 - Log Widths'!$G9-'Table 8 - Log Widths'!B9)</f>
        <v>3.7563806247253853</v>
      </c>
      <c r="D9" s="10">
        <f>EXP('Table 8 - Log Widths'!$G9-'Table 8 - Log Widths'!C9)</f>
        <v>3.754019606105194</v>
      </c>
      <c r="E9" s="10">
        <f>EXP('Table 8 - Log Widths'!$G9-'Table 8 - Log Widths'!D9)</f>
        <v>9.6687150873491507</v>
      </c>
      <c r="F9" s="10">
        <f>EXP('Table 8 - Log Widths'!$G9-'Table 8 - Log Widths'!E9)</f>
        <v>8.4491351239001435</v>
      </c>
      <c r="G9" s="10">
        <f>EXP('Table 8 - Log Widths'!$G9-'Table 8 - Log Widths'!F9)</f>
        <v>10.48292267365224</v>
      </c>
      <c r="H9" s="10">
        <f t="shared" si="0"/>
        <v>2.7906976744186052</v>
      </c>
      <c r="I9" s="10">
        <f t="shared" si="1"/>
        <v>2.7924528301886791</v>
      </c>
      <c r="J9" s="10">
        <f t="shared" si="2"/>
        <v>1.0842105263157897</v>
      </c>
      <c r="K9" s="10">
        <f t="shared" si="3"/>
        <v>1.2407095542831483</v>
      </c>
      <c r="L9" s="10">
        <f t="shared" si="4"/>
        <v>1</v>
      </c>
      <c r="M9" s="10"/>
      <c r="N9" s="8">
        <f t="array" ref="N9">IF(AND(A9&lt;&gt;"gpt-4o-mini",INDEX(Corpus!$Q$3:$Q$60,MATCH(A9,Corpus!$A$3:$A$60,0))&lt;&gt;"None"),1,0)</f>
        <v>0</v>
      </c>
      <c r="O9" s="4">
        <f>EXP('Table 8 - Log Widths'!$G9-'Table 8 - Log Widths'!$B9-'Table 8 - Log Widths'!$C9)</f>
        <v>1.345190358854361</v>
      </c>
      <c r="P9" s="4">
        <f>EXP('Table 8 - Log Widths'!$G9-'Table 8 - Log Widths'!$B9-'Table 8 - Log Widths'!$C9-'Table 8 - Log Widths'!$E9)</f>
        <v>1.08421052631579</v>
      </c>
      <c r="Q9" s="4">
        <f>EXP('Table 8 - Log Widths'!$G9-'Table 8 - Log Widths'!$B9-'Table 8 - Log Widths'!$C9-'Table 8 - Log Widths'!$E9-'Table 8 - Log Widths'!$F9)</f>
        <v>1.08421052631579</v>
      </c>
      <c r="R9" s="4">
        <f>EXP('Table 8 - Log Widths'!$G9-'Table 8 - Log Widths'!$B9-'Table 8 - Log Widths'!$C9-'Table 8 - Log Widths'!$E9-'Table 8 - Log Widths'!$F9-'Table 8 - Log Widths'!$D9)</f>
        <v>1.0000000000000004</v>
      </c>
    </row>
    <row r="10" spans="1:18" ht="15" customHeight="1" x14ac:dyDescent="0.15">
      <c r="A10" s="10" t="str">
        <f>'Table 8 - Log Widths'!A10</f>
        <v>gpt-5.2 (low)</v>
      </c>
      <c r="B10" s="10">
        <f>'Table 8 - Log Widths'!H10</f>
        <v>11.084300510230866</v>
      </c>
      <c r="C10" s="10">
        <f>EXP('Table 8 - Log Widths'!$G10-'Table 8 - Log Widths'!B10)</f>
        <v>3.9718743494993936</v>
      </c>
      <c r="D10" s="10">
        <f>EXP('Table 8 - Log Widths'!$G10-'Table 8 - Log Widths'!C10)</f>
        <v>3.9693778854205131</v>
      </c>
      <c r="E10" s="10">
        <f>EXP('Table 8 - Log Widths'!$G10-'Table 8 - Log Widths'!D10)</f>
        <v>10.223383965746914</v>
      </c>
      <c r="F10" s="10">
        <f>EXP('Table 8 - Log Widths'!$G10-'Table 8 - Log Widths'!E10)</f>
        <v>8.9148354850599976</v>
      </c>
      <c r="G10" s="10">
        <f>EXP('Table 8 - Log Widths'!$G10-'Table 8 - Log Widths'!F10)</f>
        <v>10.505269886562086</v>
      </c>
      <c r="H10" s="10">
        <f t="shared" si="0"/>
        <v>2.7906976744186047</v>
      </c>
      <c r="I10" s="10">
        <f t="shared" si="1"/>
        <v>2.7924528301886791</v>
      </c>
      <c r="J10" s="10">
        <f t="shared" si="2"/>
        <v>1.0842105263157897</v>
      </c>
      <c r="K10" s="10">
        <f t="shared" si="3"/>
        <v>1.2433544655766879</v>
      </c>
      <c r="L10" s="10">
        <f t="shared" si="4"/>
        <v>1.0551181102362208</v>
      </c>
      <c r="M10" s="10"/>
      <c r="N10" s="8">
        <f t="array" ref="N10">IF(AND(A10&lt;&gt;"gpt-4o-mini",INDEX(Corpus!$Q$3:$Q$60,MATCH(A10,Corpus!$A$3:$A$60,0))&lt;&gt;"None"),1,0)</f>
        <v>1</v>
      </c>
      <c r="O10" s="4">
        <f>EXP('Table 8 - Log Widths'!$G10-'Table 8 - Log Widths'!$B10-'Table 8 - Log Widths'!$C10)</f>
        <v>1.4223604089423505</v>
      </c>
      <c r="P10" s="4">
        <f>EXP('Table 8 - Log Widths'!$G10-'Table 8 - Log Widths'!$B10-'Table 8 - Log Widths'!$C10-'Table 8 - Log Widths'!$E10)</f>
        <v>1.1439701616245348</v>
      </c>
      <c r="Q10" s="4">
        <f>EXP('Table 8 - Log Widths'!$G10-'Table 8 - Log Widths'!$B10-'Table 8 - Log Widths'!$C10-'Table 8 - Log Widths'!$E10-'Table 8 - Log Widths'!$F10)</f>
        <v>1.0842105263157902</v>
      </c>
      <c r="R10" s="4">
        <f>EXP('Table 8 - Log Widths'!$G10-'Table 8 - Log Widths'!$B10-'Table 8 - Log Widths'!$C10-'Table 8 - Log Widths'!$E10-'Table 8 - Log Widths'!$F10-'Table 8 - Log Widths'!$D10)</f>
        <v>1.0000000000000007</v>
      </c>
    </row>
    <row r="11" spans="1:18" ht="15" customHeight="1" x14ac:dyDescent="0.15">
      <c r="A11" s="10" t="str">
        <f>'Table 8 - Log Widths'!A11</f>
        <v>gpt-5.2 (medium)</v>
      </c>
      <c r="B11" s="10">
        <f>'Table 8 - Log Widths'!H11</f>
        <v>10.805069835072251</v>
      </c>
      <c r="C11" s="10">
        <f>EXP('Table 8 - Log Widths'!$G11-'Table 8 - Log Widths'!B11)</f>
        <v>3.8718166909008893</v>
      </c>
      <c r="D11" s="10">
        <f>EXP('Table 8 - Log Widths'!$G11-'Table 8 - Log Widths'!C11)</f>
        <v>3.8693831166137116</v>
      </c>
      <c r="E11" s="10">
        <f>EXP('Table 8 - Log Widths'!$G11-'Table 8 - Log Widths'!D11)</f>
        <v>9.9658411100180935</v>
      </c>
      <c r="F11" s="10">
        <f>EXP('Table 8 - Log Widths'!$G11-'Table 8 - Log Widths'!E11)</f>
        <v>8.728253736958445</v>
      </c>
      <c r="G11" s="10">
        <f>EXP('Table 8 - Log Widths'!$G11-'Table 8 - Log Widths'!F11)</f>
        <v>10.459537246624105</v>
      </c>
      <c r="H11" s="10">
        <f t="shared" si="0"/>
        <v>2.7906976744186052</v>
      </c>
      <c r="I11" s="10">
        <f t="shared" si="1"/>
        <v>2.7924528301886791</v>
      </c>
      <c r="J11" s="10">
        <f t="shared" si="2"/>
        <v>1.0842105263157897</v>
      </c>
      <c r="K11" s="10">
        <f t="shared" si="3"/>
        <v>1.2379417648366302</v>
      </c>
      <c r="L11" s="10">
        <f t="shared" si="4"/>
        <v>1.0330351697499494</v>
      </c>
      <c r="M11" s="10"/>
      <c r="N11" s="8">
        <f t="array" ref="N11">IF(AND(A11&lt;&gt;"gpt-4o-mini",INDEX(Corpus!$Q$3:$Q$60,MATCH(A11,Corpus!$A$3:$A$60,0))&lt;&gt;"None"),1,0)</f>
        <v>1</v>
      </c>
      <c r="O11" s="4">
        <f>EXP('Table 8 - Log Widths'!$G11-'Table 8 - Log Widths'!$B11-'Table 8 - Log Widths'!$C11)</f>
        <v>1.3865289501199132</v>
      </c>
      <c r="P11" s="4">
        <f>EXP('Table 8 - Log Widths'!$G11-'Table 8 - Log Widths'!$B11-'Table 8 - Log Widths'!$C11-'Table 8 - Log Widths'!$E11)</f>
        <v>1.1200276050973139</v>
      </c>
      <c r="Q11" s="4">
        <f>EXP('Table 8 - Log Widths'!$G11-'Table 8 - Log Widths'!$B11-'Table 8 - Log Widths'!$C11-'Table 8 - Log Widths'!$E11-'Table 8 - Log Widths'!$F11)</f>
        <v>1.0842105263157902</v>
      </c>
      <c r="R11" s="4">
        <f>EXP('Table 8 - Log Widths'!$G11-'Table 8 - Log Widths'!$B11-'Table 8 - Log Widths'!$C11-'Table 8 - Log Widths'!$E11-'Table 8 - Log Widths'!$F11-'Table 8 - Log Widths'!$D11)</f>
        <v>1.0000000000000007</v>
      </c>
    </row>
    <row r="12" spans="1:18" ht="15" customHeight="1" x14ac:dyDescent="0.15">
      <c r="A12" s="10" t="str">
        <f>'Table 8 - Log Widths'!A12</f>
        <v>gpt-5.2 (high)</v>
      </c>
      <c r="B12" s="10">
        <f>'Table 8 - Log Widths'!H12</f>
        <v>10.805018216320894</v>
      </c>
      <c r="C12" s="10">
        <f>EXP('Table 8 - Log Widths'!$G12-'Table 8 - Log Widths'!B12)</f>
        <v>3.8717981941816535</v>
      </c>
      <c r="D12" s="10">
        <f>EXP('Table 8 - Log Widths'!$G12-'Table 8 - Log Widths'!C12)</f>
        <v>3.8693646315203205</v>
      </c>
      <c r="E12" s="10">
        <f>EXP('Table 8 - Log Widths'!$G12-'Table 8 - Log Widths'!D12)</f>
        <v>9.9657935004901432</v>
      </c>
      <c r="F12" s="10">
        <f>EXP('Table 8 - Log Widths'!$G12-'Table 8 - Log Widths'!E12)</f>
        <v>8.8275330477571714</v>
      </c>
      <c r="G12" s="10">
        <f>EXP('Table 8 - Log Widths'!$G12-'Table 8 - Log Widths'!F12)</f>
        <v>10.341854109409736</v>
      </c>
      <c r="H12" s="10">
        <f t="shared" si="0"/>
        <v>2.7906976744186047</v>
      </c>
      <c r="I12" s="10">
        <f t="shared" si="1"/>
        <v>2.7924528301886791</v>
      </c>
      <c r="J12" s="10">
        <f t="shared" si="2"/>
        <v>1.0842105263157897</v>
      </c>
      <c r="K12" s="10">
        <f t="shared" si="3"/>
        <v>1.2240133407448581</v>
      </c>
      <c r="L12" s="10">
        <f t="shared" si="4"/>
        <v>1.0447854032759696</v>
      </c>
      <c r="M12" s="10"/>
      <c r="N12" s="8">
        <f t="array" ref="N12">IF(AND(A12&lt;&gt;"gpt-4o-mini",INDEX(Corpus!$Q$3:$Q$60,MATCH(A12,Corpus!$A$3:$A$60,0))&lt;&gt;"None"),1,0)</f>
        <v>1</v>
      </c>
      <c r="O12" s="4">
        <f>EXP('Table 8 - Log Widths'!$G12-'Table 8 - Log Widths'!$B12-'Table 8 - Log Widths'!$C12)</f>
        <v>1.3865223262947814</v>
      </c>
      <c r="P12" s="4">
        <f>EXP('Table 8 - Log Widths'!$G12-'Table 8 - Log Widths'!$B12-'Table 8 - Log Widths'!$C12-'Table 8 - Log Widths'!$E12)</f>
        <v>1.1327673319728935</v>
      </c>
      <c r="Q12" s="4">
        <f>EXP('Table 8 - Log Widths'!$G12-'Table 8 - Log Widths'!$B12-'Table 8 - Log Widths'!$C12-'Table 8 - Log Widths'!$E12-'Table 8 - Log Widths'!$F12)</f>
        <v>1.08421052631579</v>
      </c>
      <c r="R12" s="4">
        <f>EXP('Table 8 - Log Widths'!$G12-'Table 8 - Log Widths'!$B12-'Table 8 - Log Widths'!$C12-'Table 8 - Log Widths'!$E12-'Table 8 - Log Widths'!$F12-'Table 8 - Log Widths'!$D12)</f>
        <v>1.0000000000000004</v>
      </c>
    </row>
    <row r="13" spans="1:18" ht="15" customHeight="1" x14ac:dyDescent="0.15">
      <c r="A13" s="10" t="str">
        <f>'Table 8 - Log Widths'!A13</f>
        <v>gpt-5.2 (xhigh)</v>
      </c>
      <c r="B13" s="10">
        <f>'Table 8 - Log Widths'!H13</f>
        <v>11.546052298344383</v>
      </c>
      <c r="C13" s="10">
        <f>EXP('Table 8 - Log Widths'!$G13-'Table 8 - Log Widths'!B13)</f>
        <v>4.137335406906737</v>
      </c>
      <c r="D13" s="10">
        <f>EXP('Table 8 - Log Widths'!$G13-'Table 8 - Log Widths'!C13)</f>
        <v>4.1347349446773807</v>
      </c>
      <c r="E13" s="10">
        <f>EXP('Table 8 - Log Widths'!$G13-'Table 8 - Log Widths'!D13)</f>
        <v>10.649271537307923</v>
      </c>
      <c r="F13" s="10">
        <f>EXP('Table 8 - Log Widths'!$G13-'Table 8 - Log Widths'!E13)</f>
        <v>9.3270502214741455</v>
      </c>
      <c r="G13" s="10">
        <f>EXP('Table 8 - Log Widths'!$G13-'Table 8 - Log Widths'!F13)</f>
        <v>10.459272084943381</v>
      </c>
      <c r="H13" s="10">
        <f t="shared" si="0"/>
        <v>2.7906976744186047</v>
      </c>
      <c r="I13" s="10">
        <f t="shared" si="1"/>
        <v>2.7924528301886791</v>
      </c>
      <c r="J13" s="10">
        <f t="shared" si="2"/>
        <v>1.0842105263157897</v>
      </c>
      <c r="K13" s="10">
        <f t="shared" si="3"/>
        <v>1.2379103815439221</v>
      </c>
      <c r="L13" s="10">
        <f t="shared" si="4"/>
        <v>1.1039059128182998</v>
      </c>
      <c r="M13" s="10"/>
      <c r="N13" s="8">
        <f t="array" ref="N13">IF(AND(A13&lt;&gt;"gpt-4o-mini",INDEX(Corpus!$Q$3:$Q$60,MATCH(A13,Corpus!$A$3:$A$60,0))&lt;&gt;"None"),1,0)</f>
        <v>1</v>
      </c>
      <c r="O13" s="4">
        <f>EXP('Table 8 - Log Widths'!$G13-'Table 8 - Log Widths'!$B13-'Table 8 - Log Widths'!$C13)</f>
        <v>1.4816133551760613</v>
      </c>
      <c r="P13" s="4">
        <f>EXP('Table 8 - Log Widths'!$G13-'Table 8 - Log Widths'!$B13-'Table 8 - Log Widths'!$C13-'Table 8 - Log Widths'!$E13)</f>
        <v>1.196866410739841</v>
      </c>
      <c r="Q13" s="4">
        <f>EXP('Table 8 - Log Widths'!$G13-'Table 8 - Log Widths'!$B13-'Table 8 - Log Widths'!$C13-'Table 8 - Log Widths'!$E13-'Table 8 - Log Widths'!$F13)</f>
        <v>1.08421052631579</v>
      </c>
      <c r="R13" s="4">
        <f>EXP('Table 8 - Log Widths'!$G13-'Table 8 - Log Widths'!$B13-'Table 8 - Log Widths'!$C13-'Table 8 - Log Widths'!$E13-'Table 8 - Log Widths'!$F13-'Table 8 - Log Widths'!$D13)</f>
        <v>1.0000000000000004</v>
      </c>
    </row>
    <row r="14" spans="1:18" ht="15" customHeight="1" x14ac:dyDescent="0.15">
      <c r="A14" s="10" t="str">
        <f>'Table 8 - Log Widths'!A14</f>
        <v>gpt-5.4-nano (non-reasoning)</v>
      </c>
      <c r="B14" s="10">
        <f>'Table 8 - Log Widths'!H14</f>
        <v>10.559049279812387</v>
      </c>
      <c r="C14" s="10">
        <f>EXP('Table 8 - Log Widths'!$G14-'Table 8 - Log Widths'!B14)</f>
        <v>3.7836593252661048</v>
      </c>
      <c r="D14" s="10">
        <f>EXP('Table 8 - Log Widths'!$G14-'Table 8 - Log Widths'!C14)</f>
        <v>3.7812811610138954</v>
      </c>
      <c r="E14" s="10">
        <f>EXP('Table 8 - Log Widths'!$G14-'Table 8 - Log Widths'!D14)</f>
        <v>9.7389289473997724</v>
      </c>
      <c r="F14" s="10">
        <f>EXP('Table 8 - Log Widths'!$G14-'Table 8 - Log Widths'!E14)</f>
        <v>8.4491351239001435</v>
      </c>
      <c r="G14" s="10">
        <f>EXP('Table 8 - Log Widths'!$G14-'Table 8 - Log Widths'!F14)</f>
        <v>10.559049279812387</v>
      </c>
      <c r="H14" s="10">
        <f t="shared" si="0"/>
        <v>2.7906976744186047</v>
      </c>
      <c r="I14" s="10">
        <f t="shared" si="1"/>
        <v>2.7924528301886791</v>
      </c>
      <c r="J14" s="10">
        <f t="shared" si="2"/>
        <v>1.0842105263157897</v>
      </c>
      <c r="K14" s="10">
        <f t="shared" si="3"/>
        <v>1.2497195422930225</v>
      </c>
      <c r="L14" s="10">
        <f t="shared" si="4"/>
        <v>1</v>
      </c>
      <c r="M14" s="10"/>
      <c r="N14" s="8">
        <f t="array" ref="N14">IF(AND(A14&lt;&gt;"gpt-4o-mini",INDEX(Corpus!$Q$3:$Q$60,MATCH(A14,Corpus!$A$3:$A$60,0))&lt;&gt;"None"),1,0)</f>
        <v>0</v>
      </c>
      <c r="O14" s="4">
        <f>EXP('Table 8 - Log Widths'!$G14-'Table 8 - Log Widths'!$B14-'Table 8 - Log Widths'!$C14)</f>
        <v>1.3549590826966458</v>
      </c>
      <c r="P14" s="4">
        <f>EXP('Table 8 - Log Widths'!$G14-'Table 8 - Log Widths'!$B14-'Table 8 - Log Widths'!$C14-'Table 8 - Log Widths'!$E14)</f>
        <v>1.08421052631579</v>
      </c>
      <c r="Q14" s="4">
        <f>EXP('Table 8 - Log Widths'!$G14-'Table 8 - Log Widths'!$B14-'Table 8 - Log Widths'!$C14-'Table 8 - Log Widths'!$E14-'Table 8 - Log Widths'!$F14)</f>
        <v>1.08421052631579</v>
      </c>
      <c r="R14" s="4">
        <f>EXP('Table 8 - Log Widths'!$G14-'Table 8 - Log Widths'!$B14-'Table 8 - Log Widths'!$C14-'Table 8 - Log Widths'!$E14-'Table 8 - Log Widths'!$F14-'Table 8 - Log Widths'!$D14)</f>
        <v>1.0000000000000004</v>
      </c>
    </row>
    <row r="15" spans="1:18" ht="15" customHeight="1" x14ac:dyDescent="0.15">
      <c r="A15" s="10" t="str">
        <f>'Table 8 - Log Widths'!A15</f>
        <v>gpt-5.4-nano (low)</v>
      </c>
      <c r="B15" s="10">
        <f>'Table 8 - Log Widths'!H15</f>
        <v>10.93344185036629</v>
      </c>
      <c r="C15" s="10">
        <f>EXP('Table 8 - Log Widths'!$G15-'Table 8 - Log Widths'!B15)</f>
        <v>3.9178166630479199</v>
      </c>
      <c r="D15" s="10">
        <f>EXP('Table 8 - Log Widths'!$G15-'Table 8 - Log Widths'!C15)</f>
        <v>3.9153541761446848</v>
      </c>
      <c r="E15" s="10">
        <f>EXP('Table 8 - Log Widths'!$G15-'Table 8 - Log Widths'!D15)</f>
        <v>10.084242483347547</v>
      </c>
      <c r="F15" s="10">
        <f>EXP('Table 8 - Log Widths'!$G15-'Table 8 - Log Widths'!E15)</f>
        <v>8.7055061704430834</v>
      </c>
      <c r="G15" s="10">
        <f>EXP('Table 8 - Log Widths'!$G15-'Table 8 - Log Widths'!F15)</f>
        <v>10.611459661781829</v>
      </c>
      <c r="H15" s="10">
        <f t="shared" si="0"/>
        <v>2.7906976744186052</v>
      </c>
      <c r="I15" s="10">
        <f t="shared" si="1"/>
        <v>2.7924528301886791</v>
      </c>
      <c r="J15" s="10">
        <f t="shared" si="2"/>
        <v>1.0842105263157897</v>
      </c>
      <c r="K15" s="10">
        <f t="shared" si="3"/>
        <v>1.2559225892559227</v>
      </c>
      <c r="L15" s="10">
        <f t="shared" si="4"/>
        <v>1.0303428744816427</v>
      </c>
      <c r="M15" s="10"/>
      <c r="N15" s="8">
        <f t="array" ref="N15">IF(AND(A15&lt;&gt;"gpt-4o-mini",INDEX(Corpus!$Q$3:$Q$60,MATCH(A15,Corpus!$A$3:$A$60,0))&lt;&gt;"None"),1,0)</f>
        <v>1</v>
      </c>
      <c r="O15" s="4">
        <f>EXP('Table 8 - Log Widths'!$G15-'Table 8 - Log Widths'!$B15-'Table 8 - Log Widths'!$C15)</f>
        <v>1.4030019131185119</v>
      </c>
      <c r="P15" s="4">
        <f>EXP('Table 8 - Log Widths'!$G15-'Table 8 - Log Widths'!$B15-'Table 8 - Log Widths'!$C15-'Table 8 - Log Widths'!$E15)</f>
        <v>1.1171085902274656</v>
      </c>
      <c r="Q15" s="4">
        <f>EXP('Table 8 - Log Widths'!$G15-'Table 8 - Log Widths'!$B15-'Table 8 - Log Widths'!$C15-'Table 8 - Log Widths'!$E15-'Table 8 - Log Widths'!$F15)</f>
        <v>1.08421052631579</v>
      </c>
      <c r="R15" s="4">
        <f>EXP('Table 8 - Log Widths'!$G15-'Table 8 - Log Widths'!$B15-'Table 8 - Log Widths'!$C15-'Table 8 - Log Widths'!$E15-'Table 8 - Log Widths'!$F15-'Table 8 - Log Widths'!$D15)</f>
        <v>1.0000000000000004</v>
      </c>
    </row>
    <row r="16" spans="1:18" ht="15" customHeight="1" x14ac:dyDescent="0.15">
      <c r="A16" s="10" t="str">
        <f>'Table 8 - Log Widths'!A16</f>
        <v>gpt-5.4-nano (medium)</v>
      </c>
      <c r="B16" s="10">
        <f>'Table 8 - Log Widths'!H16</f>
        <v>10.761449360739268</v>
      </c>
      <c r="C16" s="10">
        <f>EXP('Table 8 - Log Widths'!$G16-'Table 8 - Log Widths'!B16)</f>
        <v>3.8561860209315708</v>
      </c>
      <c r="D16" s="10">
        <f>EXP('Table 8 - Log Widths'!$G16-'Table 8 - Log Widths'!C16)</f>
        <v>3.8537622710755488</v>
      </c>
      <c r="E16" s="10">
        <f>EXP('Table 8 - Log Widths'!$G16-'Table 8 - Log Widths'!D16)</f>
        <v>9.9256086336915565</v>
      </c>
      <c r="F16" s="10">
        <f>EXP('Table 8 - Log Widths'!$G16-'Table 8 - Log Widths'!E16)</f>
        <v>8.7253683973183431</v>
      </c>
      <c r="G16" s="10">
        <f>EXP('Table 8 - Log Widths'!$G16-'Table 8 - Log Widths'!F16)</f>
        <v>10.420756538582348</v>
      </c>
      <c r="H16" s="10">
        <f t="shared" si="0"/>
        <v>2.7906976744186047</v>
      </c>
      <c r="I16" s="10">
        <f t="shared" si="1"/>
        <v>2.7924528301886791</v>
      </c>
      <c r="J16" s="10">
        <f t="shared" si="2"/>
        <v>1.0842105263157897</v>
      </c>
      <c r="K16" s="10">
        <f t="shared" si="3"/>
        <v>1.2333518621456367</v>
      </c>
      <c r="L16" s="10">
        <f t="shared" si="4"/>
        <v>1.0326936744847193</v>
      </c>
      <c r="M16" s="10"/>
      <c r="N16" s="8">
        <f t="array" ref="N16">IF(AND(A16&lt;&gt;"gpt-4o-mini",INDEX(Corpus!$Q$3:$Q$60,MATCH(A16,Corpus!$A$3:$A$60,0))&lt;&gt;"None"),1,0)</f>
        <v>1</v>
      </c>
      <c r="O16" s="4">
        <f>EXP('Table 8 - Log Widths'!$G16-'Table 8 - Log Widths'!$B16-'Table 8 - Log Widths'!$C16)</f>
        <v>1.3809314804687383</v>
      </c>
      <c r="P16" s="4">
        <f>EXP('Table 8 - Log Widths'!$G16-'Table 8 - Log Widths'!$B16-'Table 8 - Log Widths'!$C16-'Table 8 - Log Widths'!$E16)</f>
        <v>1.1196573523360644</v>
      </c>
      <c r="Q16" s="4">
        <f>EXP('Table 8 - Log Widths'!$G16-'Table 8 - Log Widths'!$B16-'Table 8 - Log Widths'!$C16-'Table 8 - Log Widths'!$E16-'Table 8 - Log Widths'!$F16)</f>
        <v>1.0842105263157902</v>
      </c>
      <c r="R16" s="4">
        <f>EXP('Table 8 - Log Widths'!$G16-'Table 8 - Log Widths'!$B16-'Table 8 - Log Widths'!$C16-'Table 8 - Log Widths'!$E16-'Table 8 - Log Widths'!$F16-'Table 8 - Log Widths'!$D16)</f>
        <v>1.0000000000000007</v>
      </c>
    </row>
    <row r="17" spans="1:18" ht="15" customHeight="1" x14ac:dyDescent="0.15">
      <c r="A17" s="10" t="str">
        <f>'Table 8 - Log Widths'!A17</f>
        <v>gpt-5.4-nano (high)</v>
      </c>
      <c r="B17" s="10">
        <f>'Table 8 - Log Widths'!H17</f>
        <v>11.275507784275575</v>
      </c>
      <c r="C17" s="10">
        <f>EXP('Table 8 - Log Widths'!$G17-'Table 8 - Log Widths'!B17)</f>
        <v>4.0403902893654147</v>
      </c>
      <c r="D17" s="10">
        <f>EXP('Table 8 - Log Widths'!$G17-'Table 8 - Log Widths'!C17)</f>
        <v>4.0378507605851723</v>
      </c>
      <c r="E17" s="10">
        <f>EXP('Table 8 - Log Widths'!$G17-'Table 8 - Log Widths'!D17)</f>
        <v>10.399740189380385</v>
      </c>
      <c r="F17" s="10">
        <f>EXP('Table 8 - Log Widths'!$G17-'Table 8 - Log Widths'!E17)</f>
        <v>8.9526738545122999</v>
      </c>
      <c r="G17" s="10">
        <f>EXP('Table 8 - Log Widths'!$G17-'Table 8 - Log Widths'!F17)</f>
        <v>10.641322403576158</v>
      </c>
      <c r="H17" s="10">
        <f t="shared" si="0"/>
        <v>2.7906976744186047</v>
      </c>
      <c r="I17" s="10">
        <f t="shared" si="1"/>
        <v>2.7924528301886791</v>
      </c>
      <c r="J17" s="10">
        <f t="shared" si="2"/>
        <v>1.0842105263157895</v>
      </c>
      <c r="K17" s="10">
        <f t="shared" si="3"/>
        <v>1.2594570032943317</v>
      </c>
      <c r="L17" s="10">
        <f t="shared" si="4"/>
        <v>1.0595964821520951</v>
      </c>
      <c r="M17" s="10"/>
      <c r="N17" s="8">
        <f t="array" ref="N17">IF(AND(A17&lt;&gt;"gpt-4o-mini",INDEX(Corpus!$Q$3:$Q$60,MATCH(A17,Corpus!$A$3:$A$60,0))&lt;&gt;"None"),1,0)</f>
        <v>1</v>
      </c>
      <c r="O17" s="4">
        <f>EXP('Table 8 - Log Widths'!$G17-'Table 8 - Log Widths'!$B17-'Table 8 - Log Widths'!$C17)</f>
        <v>1.4468965225430201</v>
      </c>
      <c r="P17" s="4">
        <f>EXP('Table 8 - Log Widths'!$G17-'Table 8 - Log Widths'!$B17-'Table 8 - Log Widths'!$C17-'Table 8 - Log Widths'!$E17)</f>
        <v>1.1488256595964828</v>
      </c>
      <c r="Q17" s="4">
        <f>EXP('Table 8 - Log Widths'!$G17-'Table 8 - Log Widths'!$B17-'Table 8 - Log Widths'!$C17-'Table 8 - Log Widths'!$E17-'Table 8 - Log Widths'!$F17)</f>
        <v>1.0842105263157902</v>
      </c>
      <c r="R17" s="4">
        <f>EXP('Table 8 - Log Widths'!$G17-'Table 8 - Log Widths'!$B17-'Table 8 - Log Widths'!$C17-'Table 8 - Log Widths'!$E17-'Table 8 - Log Widths'!$F17-'Table 8 - Log Widths'!$D17)</f>
        <v>1.0000000000000007</v>
      </c>
    </row>
    <row r="18" spans="1:18" ht="15" customHeight="1" x14ac:dyDescent="0.15">
      <c r="A18" s="10" t="str">
        <f>'Table 8 - Log Widths'!A18</f>
        <v>gpt-5.4-nano (xhigh)</v>
      </c>
      <c r="B18" s="10">
        <f>'Table 8 - Log Widths'!H18</f>
        <v>11.43311473198051</v>
      </c>
      <c r="C18" s="10">
        <f>EXP('Table 8 - Log Widths'!$G18-'Table 8 - Log Widths'!B18)</f>
        <v>4.0968661122930152</v>
      </c>
      <c r="D18" s="10">
        <f>EXP('Table 8 - Log Widths'!$G18-'Table 8 - Log Widths'!C18)</f>
        <v>4.09429108645248</v>
      </c>
      <c r="E18" s="10">
        <f>EXP('Table 8 - Log Widths'!$G18-'Table 8 - Log Widths'!D18)</f>
        <v>10.545105820758721</v>
      </c>
      <c r="F18" s="10">
        <f>EXP('Table 8 - Log Widths'!$G18-'Table 8 - Log Widths'!E18)</f>
        <v>9.0064821990803026</v>
      </c>
      <c r="G18" s="10">
        <f>EXP('Table 8 - Log Widths'!$G18-'Table 8 - Log Widths'!F18)</f>
        <v>10.725600642104308</v>
      </c>
      <c r="H18" s="10">
        <f t="shared" si="0"/>
        <v>2.7906976744186052</v>
      </c>
      <c r="I18" s="10">
        <f t="shared" si="1"/>
        <v>2.7924528301886791</v>
      </c>
      <c r="J18" s="10">
        <f t="shared" si="2"/>
        <v>1.0842105263157897</v>
      </c>
      <c r="K18" s="10">
        <f t="shared" si="3"/>
        <v>1.269431780273546</v>
      </c>
      <c r="L18" s="10">
        <f t="shared" si="4"/>
        <v>1.0659649854105879</v>
      </c>
      <c r="M18" s="10"/>
      <c r="N18" s="8">
        <f t="array" ref="N18">IF(AND(A18&lt;&gt;"gpt-4o-mini",INDEX(Corpus!$Q$3:$Q$60,MATCH(A18,Corpus!$A$3:$A$60,0))&lt;&gt;"None"),1,0)</f>
        <v>1</v>
      </c>
      <c r="O18" s="4">
        <f>EXP('Table 8 - Log Widths'!$G18-'Table 8 - Log Widths'!$B18-'Table 8 - Log Widths'!$C18)</f>
        <v>1.4671209726454717</v>
      </c>
      <c r="P18" s="4">
        <f>EXP('Table 8 - Log Widths'!$G18-'Table 8 - Log Widths'!$B18-'Table 8 - Log Widths'!$C18-'Table 8 - Log Widths'!$E18)</f>
        <v>1.1557304578662166</v>
      </c>
      <c r="Q18" s="4">
        <f>EXP('Table 8 - Log Widths'!$G18-'Table 8 - Log Widths'!$B18-'Table 8 - Log Widths'!$C18-'Table 8 - Log Widths'!$E18-'Table 8 - Log Widths'!$F18)</f>
        <v>1.08421052631579</v>
      </c>
      <c r="R18" s="4">
        <f>EXP('Table 8 - Log Widths'!$G18-'Table 8 - Log Widths'!$B18-'Table 8 - Log Widths'!$C18-'Table 8 - Log Widths'!$E18-'Table 8 - Log Widths'!$F18-'Table 8 - Log Widths'!$D18)</f>
        <v>1.0000000000000004</v>
      </c>
    </row>
    <row r="19" spans="1:18" ht="15" customHeight="1" x14ac:dyDescent="0.15">
      <c r="A19" s="10" t="str">
        <f>'Table 8 - Log Widths'!A19</f>
        <v>gpt-5.4-mini (non-reasoning)</v>
      </c>
      <c r="B19" s="10">
        <f>'Table 8 - Log Widths'!H19</f>
        <v>10.442254792606976</v>
      </c>
      <c r="C19" s="10">
        <f>EXP('Table 8 - Log Widths'!$G19-'Table 8 - Log Widths'!B19)</f>
        <v>3.7418079673508329</v>
      </c>
      <c r="D19" s="10">
        <f>EXP('Table 8 - Log Widths'!$G19-'Table 8 - Log Widths'!C19)</f>
        <v>3.7394561081633091</v>
      </c>
      <c r="E19" s="10">
        <f>EXP('Table 8 - Log Widths'!$G19-'Table 8 - Log Widths'!D19)</f>
        <v>9.6312058766763364</v>
      </c>
      <c r="F19" s="10">
        <f>EXP('Table 8 - Log Widths'!$G19-'Table 8 - Log Widths'!E19)</f>
        <v>8.4491351239001435</v>
      </c>
      <c r="G19" s="10">
        <f>EXP('Table 8 - Log Widths'!$G19-'Table 8 - Log Widths'!F19)</f>
        <v>10.442254792606976</v>
      </c>
      <c r="H19" s="10">
        <f t="shared" si="0"/>
        <v>2.7906976744186047</v>
      </c>
      <c r="I19" s="10">
        <f t="shared" si="1"/>
        <v>2.7924528301886791</v>
      </c>
      <c r="J19" s="10">
        <f t="shared" si="2"/>
        <v>1.0842105263157895</v>
      </c>
      <c r="K19" s="10">
        <f t="shared" si="3"/>
        <v>1.2358962946478247</v>
      </c>
      <c r="L19" s="10">
        <f t="shared" si="4"/>
        <v>1</v>
      </c>
      <c r="M19" s="10"/>
      <c r="N19" s="8">
        <f t="array" ref="N19">IF(AND(A19&lt;&gt;"gpt-4o-mini",INDEX(Corpus!$Q$3:$Q$60,MATCH(A19,Corpus!$A$3:$A$60,0))&lt;&gt;"None"),1,0)</f>
        <v>0</v>
      </c>
      <c r="O19" s="4">
        <f>EXP('Table 8 - Log Widths'!$G19-'Table 8 - Log Widths'!$B19-'Table 8 - Log Widths'!$C19)</f>
        <v>1.3399717720918523</v>
      </c>
      <c r="P19" s="4">
        <f>EXP('Table 8 - Log Widths'!$G19-'Table 8 - Log Widths'!$B19-'Table 8 - Log Widths'!$C19-'Table 8 - Log Widths'!$E19)</f>
        <v>1.0842105263157897</v>
      </c>
      <c r="Q19" s="4">
        <f>EXP('Table 8 - Log Widths'!$G19-'Table 8 - Log Widths'!$B19-'Table 8 - Log Widths'!$C19-'Table 8 - Log Widths'!$E19-'Table 8 - Log Widths'!$F19)</f>
        <v>1.0842105263157897</v>
      </c>
      <c r="R19" s="4">
        <f>EXP('Table 8 - Log Widths'!$G19-'Table 8 - Log Widths'!$B19-'Table 8 - Log Widths'!$C19-'Table 8 - Log Widths'!$E19-'Table 8 - Log Widths'!$F19-'Table 8 - Log Widths'!$D19)</f>
        <v>1.0000000000000002</v>
      </c>
    </row>
    <row r="20" spans="1:18" ht="15" customHeight="1" x14ac:dyDescent="0.15">
      <c r="A20" s="10" t="str">
        <f>'Table 8 - Log Widths'!A20</f>
        <v>gpt-5.4-mini (low)</v>
      </c>
      <c r="B20" s="10">
        <f>'Table 8 - Log Widths'!H20</f>
        <v>10.814408427189822</v>
      </c>
      <c r="C20" s="10">
        <f>EXP('Table 8 - Log Widths'!$G20-'Table 8 - Log Widths'!B20)</f>
        <v>3.8751630197430189</v>
      </c>
      <c r="D20" s="10">
        <f>EXP('Table 8 - Log Widths'!$G20-'Table 8 - Log Widths'!C20)</f>
        <v>3.8727273421693278</v>
      </c>
      <c r="E20" s="10">
        <f>EXP('Table 8 - Log Widths'!$G20-'Table 8 - Log Widths'!D20)</f>
        <v>9.9744543745925522</v>
      </c>
      <c r="F20" s="10">
        <f>EXP('Table 8 - Log Widths'!$G20-'Table 8 - Log Widths'!E20)</f>
        <v>8.7819615508646773</v>
      </c>
      <c r="G20" s="10">
        <f>EXP('Table 8 - Log Widths'!$G20-'Table 8 - Log Widths'!F20)</f>
        <v>10.404554558471581</v>
      </c>
      <c r="H20" s="10">
        <f t="shared" si="0"/>
        <v>2.7906976744186052</v>
      </c>
      <c r="I20" s="10">
        <f t="shared" si="1"/>
        <v>2.7924528301886795</v>
      </c>
      <c r="J20" s="10">
        <f t="shared" si="2"/>
        <v>1.0842105263157897</v>
      </c>
      <c r="K20" s="10">
        <f t="shared" si="3"/>
        <v>1.2314342717800932</v>
      </c>
      <c r="L20" s="10">
        <f t="shared" si="4"/>
        <v>1.0393917746708849</v>
      </c>
      <c r="M20" s="10"/>
      <c r="N20" s="8">
        <f t="array" ref="N20">IF(AND(A20&lt;&gt;"gpt-4o-mini",INDEX(Corpus!$Q$3:$Q$60,MATCH(A20,Corpus!$A$3:$A$60,0))&lt;&gt;"None"),1,0)</f>
        <v>1</v>
      </c>
      <c r="O20" s="4">
        <f>EXP('Table 8 - Log Widths'!$G20-'Table 8 - Log Widths'!$B20-'Table 8 - Log Widths'!$C20)</f>
        <v>1.3877272976106758</v>
      </c>
      <c r="P20" s="4">
        <f>EXP('Table 8 - Log Widths'!$G20-'Table 8 - Log Widths'!$B20-'Table 8 - Log Widths'!$C20-'Table 8 - Log Widths'!$E20)</f>
        <v>1.1269195030642229</v>
      </c>
      <c r="Q20" s="4">
        <f>EXP('Table 8 - Log Widths'!$G20-'Table 8 - Log Widths'!$B20-'Table 8 - Log Widths'!$C20-'Table 8 - Log Widths'!$E20-'Table 8 - Log Widths'!$F20)</f>
        <v>1.08421052631579</v>
      </c>
      <c r="R20" s="4">
        <f>EXP('Table 8 - Log Widths'!$G20-'Table 8 - Log Widths'!$B20-'Table 8 - Log Widths'!$C20-'Table 8 - Log Widths'!$E20-'Table 8 - Log Widths'!$F20-'Table 8 - Log Widths'!$D20)</f>
        <v>1.0000000000000004</v>
      </c>
    </row>
    <row r="21" spans="1:18" ht="15.75" customHeight="1" x14ac:dyDescent="0.15">
      <c r="A21" s="10" t="str">
        <f>'Table 8 - Log Widths'!A21</f>
        <v>gpt-5.4-mini (medium)</v>
      </c>
      <c r="B21" s="10">
        <f>'Table 8 - Log Widths'!H21</f>
        <v>11.56035222493338</v>
      </c>
      <c r="C21" s="10">
        <f>EXP('Table 8 - Log Widths'!$G21-'Table 8 - Log Widths'!B21)</f>
        <v>4.1424595472677943</v>
      </c>
      <c r="D21" s="10">
        <f>EXP('Table 8 - Log Widths'!$G21-'Table 8 - Log Widths'!C21)</f>
        <v>4.1398558643342511</v>
      </c>
      <c r="E21" s="10">
        <f>EXP('Table 8 - Log Widths'!$G21-'Table 8 - Log Widths'!D21)</f>
        <v>10.662460789987097</v>
      </c>
      <c r="F21" s="10">
        <f>EXP('Table 8 - Log Widths'!$G21-'Table 8 - Log Widths'!E21)</f>
        <v>9.3730053207020205</v>
      </c>
      <c r="G21" s="10">
        <f>EXP('Table 8 - Log Widths'!$G21-'Table 8 - Log Widths'!F21)</f>
        <v>10.420881530132977</v>
      </c>
      <c r="H21" s="10">
        <f t="shared" si="0"/>
        <v>2.7906976744186047</v>
      </c>
      <c r="I21" s="10">
        <f t="shared" si="1"/>
        <v>2.7924528301886791</v>
      </c>
      <c r="J21" s="10">
        <f t="shared" si="2"/>
        <v>1.0842105263157895</v>
      </c>
      <c r="K21" s="10">
        <f t="shared" si="3"/>
        <v>1.233366655559258</v>
      </c>
      <c r="L21" s="10">
        <f t="shared" si="4"/>
        <v>1.1093449427963953</v>
      </c>
      <c r="M21" s="10"/>
      <c r="N21" s="8">
        <f t="array" ref="N21">IF(AND(A21&lt;&gt;"gpt-4o-mini",INDEX(Corpus!$Q$3:$Q$60,MATCH(A21,Corpus!$A$3:$A$60,0))&lt;&gt;"None"),1,0)</f>
        <v>1</v>
      </c>
      <c r="O21" s="4">
        <f>EXP('Table 8 - Log Widths'!$G21-'Table 8 - Log Widths'!$B21-'Table 8 - Log Widths'!$C21)</f>
        <v>1.4834483513864398</v>
      </c>
      <c r="P21" s="4">
        <f>EXP('Table 8 - Log Widths'!$G21-'Table 8 - Log Widths'!$B21-'Table 8 - Log Widths'!$C21-'Table 8 - Log Widths'!$E21)</f>
        <v>1.2027634642950393</v>
      </c>
      <c r="Q21" s="4">
        <f>EXP('Table 8 - Log Widths'!$G21-'Table 8 - Log Widths'!$B21-'Table 8 - Log Widths'!$C21-'Table 8 - Log Widths'!$E21-'Table 8 - Log Widths'!$F21)</f>
        <v>1.0842105263157895</v>
      </c>
      <c r="R21" s="4">
        <f>EXP('Table 8 - Log Widths'!$G21-'Table 8 - Log Widths'!$B21-'Table 8 - Log Widths'!$C21-'Table 8 - Log Widths'!$E21-'Table 8 - Log Widths'!$F21-'Table 8 - Log Widths'!$D21)</f>
        <v>1</v>
      </c>
    </row>
    <row r="22" spans="1:18" ht="15.75" customHeight="1" x14ac:dyDescent="0.15">
      <c r="A22" s="10" t="str">
        <f>'Table 8 - Log Widths'!A22</f>
        <v>gpt-5.4-mini (high)</v>
      </c>
      <c r="B22" s="10">
        <f>'Table 8 - Log Widths'!H22</f>
        <v>11.213326412545474</v>
      </c>
      <c r="C22" s="10">
        <f>EXP('Table 8 - Log Widths'!$G22-'Table 8 - Log Widths'!B22)</f>
        <v>4.0181086311621277</v>
      </c>
      <c r="D22" s="10">
        <f>EXP('Table 8 - Log Widths'!$G22-'Table 8 - Log Widths'!C22)</f>
        <v>4.0155831071953392</v>
      </c>
      <c r="E22" s="10">
        <f>EXP('Table 8 - Log Widths'!$G22-'Table 8 - Log Widths'!D22)</f>
        <v>10.342388438755533</v>
      </c>
      <c r="F22" s="10">
        <f>EXP('Table 8 - Log Widths'!$G22-'Table 8 - Log Widths'!E22)</f>
        <v>9.1310690587989107</v>
      </c>
      <c r="G22" s="10">
        <f>EXP('Table 8 - Log Widths'!$G22-'Table 8 - Log Widths'!F22)</f>
        <v>10.375883638367482</v>
      </c>
      <c r="H22" s="10">
        <f t="shared" si="0"/>
        <v>2.7906976744186047</v>
      </c>
      <c r="I22" s="10">
        <f t="shared" si="1"/>
        <v>2.7924528301886786</v>
      </c>
      <c r="J22" s="10">
        <f t="shared" si="2"/>
        <v>1.0842105263157895</v>
      </c>
      <c r="K22" s="10">
        <f t="shared" si="3"/>
        <v>1.2280409161663333</v>
      </c>
      <c r="L22" s="10">
        <f t="shared" si="4"/>
        <v>1.0807105017139296</v>
      </c>
      <c r="M22" s="10"/>
      <c r="N22" s="8">
        <f t="array" ref="N22">IF(AND(A22&lt;&gt;"gpt-4o-mini",INDEX(Corpus!$Q$3:$Q$60,MATCH(A22,Corpus!$A$3:$A$60,0))&lt;&gt;"None"),1,0)</f>
        <v>1</v>
      </c>
      <c r="O22" s="4">
        <f>EXP('Table 8 - Log Widths'!$G22-'Table 8 - Log Widths'!$B22-'Table 8 - Log Widths'!$C22)</f>
        <v>1.4389172800783296</v>
      </c>
      <c r="P22" s="4">
        <f>EXP('Table 8 - Log Widths'!$G22-'Table 8 - Log Widths'!$B22-'Table 8 - Log Widths'!$C22-'Table 8 - Log Widths'!$E22)</f>
        <v>1.1717177018582612</v>
      </c>
      <c r="Q22" s="4">
        <f>EXP('Table 8 - Log Widths'!$G22-'Table 8 - Log Widths'!$B22-'Table 8 - Log Widths'!$C22-'Table 8 - Log Widths'!$E22-'Table 8 - Log Widths'!$F22)</f>
        <v>1.0842105263157902</v>
      </c>
      <c r="R22" s="4">
        <f>EXP('Table 8 - Log Widths'!$G22-'Table 8 - Log Widths'!$B22-'Table 8 - Log Widths'!$C22-'Table 8 - Log Widths'!$E22-'Table 8 - Log Widths'!$F22-'Table 8 - Log Widths'!$D22)</f>
        <v>1.0000000000000007</v>
      </c>
    </row>
    <row r="23" spans="1:18" ht="15.75" customHeight="1" x14ac:dyDescent="0.15">
      <c r="A23" s="10" t="str">
        <f>'Table 8 - Log Widths'!A23</f>
        <v>gpt-5.4-mini (xhigh)</v>
      </c>
      <c r="B23" s="10">
        <f>'Table 8 - Log Widths'!H23</f>
        <v>18.899695258107453</v>
      </c>
      <c r="C23" s="10">
        <f>EXP('Table 8 - Log Widths'!$G23-'Table 8 - Log Widths'!B23)</f>
        <v>6.772390800821837</v>
      </c>
      <c r="D23" s="10">
        <f>EXP('Table 8 - Log Widths'!$G23-'Table 8 - Log Widths'!C23)</f>
        <v>6.7681341127006425</v>
      </c>
      <c r="E23" s="10">
        <f>EXP('Table 8 - Log Widths'!$G23-'Table 8 - Log Widths'!D23)</f>
        <v>17.431757762332115</v>
      </c>
      <c r="F23" s="10">
        <f>EXP('Table 8 - Log Widths'!$G23-'Table 8 - Log Widths'!E23)</f>
        <v>13.611532859818114</v>
      </c>
      <c r="G23" s="10">
        <f>EXP('Table 8 - Log Widths'!$G23-'Table 8 - Log Widths'!F23)</f>
        <v>11.731674946595147</v>
      </c>
      <c r="H23" s="10">
        <f t="shared" si="0"/>
        <v>2.7906976744186047</v>
      </c>
      <c r="I23" s="10">
        <f t="shared" si="1"/>
        <v>2.7924528301886791</v>
      </c>
      <c r="J23" s="10">
        <f t="shared" si="2"/>
        <v>1.0842105263157895</v>
      </c>
      <c r="K23" s="10">
        <f t="shared" si="3"/>
        <v>1.388506015652377</v>
      </c>
      <c r="L23" s="10">
        <f t="shared" si="4"/>
        <v>1.6109971802102019</v>
      </c>
      <c r="M23" s="10"/>
      <c r="N23" s="8">
        <f t="array" ref="N23">IF(AND(A23&lt;&gt;"gpt-4o-mini",INDEX(Corpus!$Q$3:$Q$60,MATCH(A23,Corpus!$A$3:$A$60,0))&lt;&gt;"None"),1,0)</f>
        <v>1</v>
      </c>
      <c r="O23" s="4">
        <f>EXP('Table 8 - Log Widths'!$G23-'Table 8 - Log Widths'!$B23-'Table 8 - Log Widths'!$C23)</f>
        <v>2.4252480570510633</v>
      </c>
      <c r="P23" s="4">
        <f>EXP('Table 8 - Log Widths'!$G23-'Table 8 - Log Widths'!$B23-'Table 8 - Log Widths'!$C23-'Table 8 - Log Widths'!$E23)</f>
        <v>1.7466601006489568</v>
      </c>
      <c r="Q23" s="4">
        <f>EXP('Table 8 - Log Widths'!$G23-'Table 8 - Log Widths'!$B23-'Table 8 - Log Widths'!$C23-'Table 8 - Log Widths'!$E23-'Table 8 - Log Widths'!$F23)</f>
        <v>1.08421052631579</v>
      </c>
      <c r="R23" s="4">
        <f>EXP('Table 8 - Log Widths'!$G23-'Table 8 - Log Widths'!$B23-'Table 8 - Log Widths'!$C23-'Table 8 - Log Widths'!$E23-'Table 8 - Log Widths'!$F23-'Table 8 - Log Widths'!$D23)</f>
        <v>1.0000000000000004</v>
      </c>
    </row>
    <row r="24" spans="1:18" ht="15.75" customHeight="1" x14ac:dyDescent="0.15">
      <c r="A24" s="10" t="str">
        <f>'Table 8 - Log Widths'!A24</f>
        <v>gpt-5.4 (non-reasoning)</v>
      </c>
      <c r="B24" s="10">
        <f>'Table 8 - Log Widths'!H24</f>
        <v>10.674682526400652</v>
      </c>
      <c r="C24" s="10">
        <f>EXP('Table 8 - Log Widths'!$G24-'Table 8 - Log Widths'!B24)</f>
        <v>3.8250945719602334</v>
      </c>
      <c r="D24" s="10">
        <f>EXP('Table 8 - Log Widths'!$G24-'Table 8 - Log Widths'!C24)</f>
        <v>3.8226903641840173</v>
      </c>
      <c r="E24" s="10">
        <f>EXP('Table 8 - Log Widths'!$G24-'Table 8 - Log Widths'!D24)</f>
        <v>9.8455809709520565</v>
      </c>
      <c r="F24" s="10">
        <f>EXP('Table 8 - Log Widths'!$G24-'Table 8 - Log Widths'!E24)</f>
        <v>8.4491351239001435</v>
      </c>
      <c r="G24" s="10">
        <f>EXP('Table 8 - Log Widths'!$G24-'Table 8 - Log Widths'!F24)</f>
        <v>10.674682526400652</v>
      </c>
      <c r="H24" s="10">
        <f t="shared" si="0"/>
        <v>2.7906976744186047</v>
      </c>
      <c r="I24" s="10">
        <f t="shared" si="1"/>
        <v>2.7924528301886791</v>
      </c>
      <c r="J24" s="10">
        <f t="shared" si="2"/>
        <v>1.0842105263157895</v>
      </c>
      <c r="K24" s="10">
        <f t="shared" si="3"/>
        <v>1.2634053509459309</v>
      </c>
      <c r="L24" s="10">
        <f t="shared" si="4"/>
        <v>1</v>
      </c>
      <c r="M24" s="10"/>
      <c r="N24" s="8">
        <f t="array" ref="N24">IF(AND(A24&lt;&gt;"gpt-4o-mini",INDEX(Corpus!$Q$3:$Q$60,MATCH(A24,Corpus!$A$3:$A$60,0))&lt;&gt;"None"),1,0)</f>
        <v>0</v>
      </c>
      <c r="O24" s="4">
        <f>EXP('Table 8 - Log Widths'!$G24-'Table 8 - Log Widths'!$B24-'Table 8 - Log Widths'!$C24)</f>
        <v>1.3697973804992727</v>
      </c>
      <c r="P24" s="4">
        <f>EXP('Table 8 - Log Widths'!$G24-'Table 8 - Log Widths'!$B24-'Table 8 - Log Widths'!$C24-'Table 8 - Log Widths'!$E24)</f>
        <v>1.0842105263157897</v>
      </c>
      <c r="Q24" s="4">
        <f>EXP('Table 8 - Log Widths'!$G24-'Table 8 - Log Widths'!$B24-'Table 8 - Log Widths'!$C24-'Table 8 - Log Widths'!$E24-'Table 8 - Log Widths'!$F24)</f>
        <v>1.0842105263157897</v>
      </c>
      <c r="R24" s="4">
        <f>EXP('Table 8 - Log Widths'!$G24-'Table 8 - Log Widths'!$B24-'Table 8 - Log Widths'!$C24-'Table 8 - Log Widths'!$E24-'Table 8 - Log Widths'!$F24-'Table 8 - Log Widths'!$D24)</f>
        <v>1.0000000000000002</v>
      </c>
    </row>
    <row r="25" spans="1:18" ht="15.75" customHeight="1" x14ac:dyDescent="0.15">
      <c r="A25" s="10" t="str">
        <f>'Table 8 - Log Widths'!A25</f>
        <v>gpt-5.4 (low)</v>
      </c>
      <c r="B25" s="10">
        <f>'Table 8 - Log Widths'!H25</f>
        <v>10.673692283617765</v>
      </c>
      <c r="C25" s="10">
        <f>EXP('Table 8 - Log Widths'!$G25-'Table 8 - Log Widths'!B25)</f>
        <v>3.8247397349630323</v>
      </c>
      <c r="D25" s="10">
        <f>EXP('Table 8 - Log Widths'!$G25-'Table 8 - Log Widths'!C25)</f>
        <v>3.8223357502144704</v>
      </c>
      <c r="E25" s="10">
        <f>EXP('Table 8 - Log Widths'!$G25-'Table 8 - Log Widths'!D25)</f>
        <v>9.8446676402299769</v>
      </c>
      <c r="F25" s="10">
        <f>EXP('Table 8 - Log Widths'!$G25-'Table 8 - Log Widths'!E25)</f>
        <v>8.6400567689877708</v>
      </c>
      <c r="G25" s="10">
        <f>EXP('Table 8 - Log Widths'!$G25-'Table 8 - Log Widths'!F25)</f>
        <v>10.437832850695758</v>
      </c>
      <c r="H25" s="10">
        <f t="shared" si="0"/>
        <v>2.7906976744186047</v>
      </c>
      <c r="I25" s="10">
        <f t="shared" si="1"/>
        <v>2.7924528301886791</v>
      </c>
      <c r="J25" s="10">
        <f t="shared" si="2"/>
        <v>1.0842105263157895</v>
      </c>
      <c r="K25" s="10">
        <f t="shared" si="3"/>
        <v>1.2353729343456901</v>
      </c>
      <c r="L25" s="10">
        <f t="shared" si="4"/>
        <v>1.0225965903359227</v>
      </c>
      <c r="M25" s="10"/>
      <c r="N25" s="8">
        <f t="array" ref="N25">IF(AND(A25&lt;&gt;"gpt-4o-mini",INDEX(Corpus!$Q$3:$Q$60,MATCH(A25,Corpus!$A$3:$A$60,0))&lt;&gt;"None"),1,0)</f>
        <v>1</v>
      </c>
      <c r="O25" s="4">
        <f>EXP('Table 8 - Log Widths'!$G25-'Table 8 - Log Widths'!$B25-'Table 8 - Log Widths'!$C25)</f>
        <v>1.3696703104935184</v>
      </c>
      <c r="P25" s="4">
        <f>EXP('Table 8 - Log Widths'!$G25-'Table 8 - Log Widths'!$B25-'Table 8 - Log Widths'!$C25-'Table 8 - Log Widths'!$E25)</f>
        <v>1.1087099874168429</v>
      </c>
      <c r="Q25" s="4">
        <f>EXP('Table 8 - Log Widths'!$G25-'Table 8 - Log Widths'!$B25-'Table 8 - Log Widths'!$C25-'Table 8 - Log Widths'!$E25-'Table 8 - Log Widths'!$F25)</f>
        <v>1.08421052631579</v>
      </c>
      <c r="R25" s="4">
        <f>EXP('Table 8 - Log Widths'!$G25-'Table 8 - Log Widths'!$B25-'Table 8 - Log Widths'!$C25-'Table 8 - Log Widths'!$E25-'Table 8 - Log Widths'!$F25-'Table 8 - Log Widths'!$D25)</f>
        <v>1.0000000000000004</v>
      </c>
    </row>
    <row r="26" spans="1:18" ht="15.75" customHeight="1" x14ac:dyDescent="0.15">
      <c r="A26" s="10" t="str">
        <f>'Table 8 - Log Widths'!A26</f>
        <v>gpt-5.4 (medium)</v>
      </c>
      <c r="B26" s="10">
        <f>'Table 8 - Log Widths'!H26</f>
        <v>11.262036747005729</v>
      </c>
      <c r="C26" s="10">
        <f>EXP('Table 8 - Log Widths'!$G26-'Table 8 - Log Widths'!B26)</f>
        <v>4.0355631676770525</v>
      </c>
      <c r="D26" s="10">
        <f>EXP('Table 8 - Log Widths'!$G26-'Table 8 - Log Widths'!C26)</f>
        <v>4.0330266729142137</v>
      </c>
      <c r="E26" s="10">
        <f>EXP('Table 8 - Log Widths'!$G26-'Table 8 - Log Widths'!D26)</f>
        <v>10.387315446267419</v>
      </c>
      <c r="F26" s="10">
        <f>EXP('Table 8 - Log Widths'!$G26-'Table 8 - Log Widths'!E26)</f>
        <v>8.9387387620260732</v>
      </c>
      <c r="G26" s="10">
        <f>EXP('Table 8 - Log Widths'!$G26-'Table 8 - Log Widths'!F26)</f>
        <v>10.645178562552859</v>
      </c>
      <c r="H26" s="10">
        <f t="shared" si="0"/>
        <v>2.7906976744186047</v>
      </c>
      <c r="I26" s="10">
        <f t="shared" si="1"/>
        <v>2.7924528301886791</v>
      </c>
      <c r="J26" s="10">
        <f t="shared" si="2"/>
        <v>1.0842105263157895</v>
      </c>
      <c r="K26" s="10">
        <f t="shared" si="3"/>
        <v>1.2599134001823151</v>
      </c>
      <c r="L26" s="10">
        <f t="shared" si="4"/>
        <v>1.057947189972259</v>
      </c>
      <c r="M26" s="10"/>
      <c r="N26" s="8">
        <f t="array" ref="N26">IF(AND(A26&lt;&gt;"gpt-4o-mini",INDEX(Corpus!$Q$3:$Q$60,MATCH(A26,Corpus!$A$3:$A$60,0))&lt;&gt;"None"),1,0)</f>
        <v>1</v>
      </c>
      <c r="O26" s="4">
        <f>EXP('Table 8 - Log Widths'!$G26-'Table 8 - Log Widths'!$B26-'Table 8 - Log Widths'!$C26)</f>
        <v>1.4451678911275934</v>
      </c>
      <c r="P26" s="4">
        <f>EXP('Table 8 - Log Widths'!$G26-'Table 8 - Log Widths'!$B26-'Table 8 - Log Widths'!$C26-'Table 8 - Log Widths'!$E26)</f>
        <v>1.1470374796541341</v>
      </c>
      <c r="Q26" s="4">
        <f>EXP('Table 8 - Log Widths'!$G26-'Table 8 - Log Widths'!$B26-'Table 8 - Log Widths'!$C26-'Table 8 - Log Widths'!$E26-'Table 8 - Log Widths'!$F26)</f>
        <v>1.08421052631579</v>
      </c>
      <c r="R26" s="4">
        <f>EXP('Table 8 - Log Widths'!$G26-'Table 8 - Log Widths'!$B26-'Table 8 - Log Widths'!$C26-'Table 8 - Log Widths'!$E26-'Table 8 - Log Widths'!$F26-'Table 8 - Log Widths'!$D26)</f>
        <v>1.0000000000000004</v>
      </c>
    </row>
    <row r="27" spans="1:18" ht="15.75" customHeight="1" x14ac:dyDescent="0.15">
      <c r="A27" s="10" t="str">
        <f>'Table 8 - Log Widths'!A27</f>
        <v>gpt-5.4 (high)</v>
      </c>
      <c r="B27" s="10">
        <f>'Table 8 - Log Widths'!H27</f>
        <v>11.509271992319142</v>
      </c>
      <c r="C27" s="10">
        <f>EXP('Table 8 - Log Widths'!$G27-'Table 8 - Log Widths'!B27)</f>
        <v>4.1241557972476919</v>
      </c>
      <c r="D27" s="10">
        <f>EXP('Table 8 - Log Widths'!$G27-'Table 8 - Log Widths'!C27)</f>
        <v>4.1215636188710443</v>
      </c>
      <c r="E27" s="10">
        <f>EXP('Table 8 - Log Widths'!$G27-'Table 8 - Log Widths'!D27)</f>
        <v>10.615347954080761</v>
      </c>
      <c r="F27" s="10">
        <f>EXP('Table 8 - Log Widths'!$G27-'Table 8 - Log Widths'!E27)</f>
        <v>9.3101546640894508</v>
      </c>
      <c r="G27" s="10">
        <f>EXP('Table 8 - Log Widths'!$G27-'Table 8 - Log Widths'!F27)</f>
        <v>10.44487419912636</v>
      </c>
      <c r="H27" s="10">
        <f t="shared" si="0"/>
        <v>2.7906976744186052</v>
      </c>
      <c r="I27" s="10">
        <f t="shared" si="1"/>
        <v>2.7924528301886791</v>
      </c>
      <c r="J27" s="10">
        <f t="shared" si="2"/>
        <v>1.0842105263157897</v>
      </c>
      <c r="K27" s="10">
        <f t="shared" si="3"/>
        <v>1.2362063153163276</v>
      </c>
      <c r="L27" s="10">
        <f t="shared" si="4"/>
        <v>1.1019062339000514</v>
      </c>
      <c r="M27" s="10"/>
      <c r="N27" s="8">
        <f t="array" ref="N27">IF(AND(A27&lt;&gt;"gpt-4o-mini",INDEX(Corpus!$Q$3:$Q$60,MATCH(A27,Corpus!$A$3:$A$60,0))&lt;&gt;"None"),1,0)</f>
        <v>1</v>
      </c>
      <c r="O27" s="4">
        <f>EXP('Table 8 - Log Widths'!$G27-'Table 8 - Log Widths'!$B27-'Table 8 - Log Widths'!$C27)</f>
        <v>1.4768936300954574</v>
      </c>
      <c r="P27" s="4">
        <f>EXP('Table 8 - Log Widths'!$G27-'Table 8 - Log Widths'!$B27-'Table 8 - Log Widths'!$C27-'Table 8 - Log Widths'!$E27)</f>
        <v>1.1946983378074243</v>
      </c>
      <c r="Q27" s="4">
        <f>EXP('Table 8 - Log Widths'!$G27-'Table 8 - Log Widths'!$B27-'Table 8 - Log Widths'!$C27-'Table 8 - Log Widths'!$E27-'Table 8 - Log Widths'!$F27)</f>
        <v>1.0842105263157897</v>
      </c>
      <c r="R27" s="4">
        <f>EXP('Table 8 - Log Widths'!$G27-'Table 8 - Log Widths'!$B27-'Table 8 - Log Widths'!$C27-'Table 8 - Log Widths'!$E27-'Table 8 - Log Widths'!$F27-'Table 8 - Log Widths'!$D27)</f>
        <v>1.0000000000000002</v>
      </c>
    </row>
    <row r="28" spans="1:18" ht="15.75" customHeight="1" x14ac:dyDescent="0.15">
      <c r="A28" s="10" t="str">
        <f>'Table 8 - Log Widths'!A28</f>
        <v>gpt-5.4 (xhigh)</v>
      </c>
      <c r="B28" s="10">
        <f>'Table 8 - Log Widths'!H28</f>
        <v>12.139227480383058</v>
      </c>
      <c r="C28" s="10">
        <f>EXP('Table 8 - Log Widths'!$G28-'Table 8 - Log Widths'!B28)</f>
        <v>4.3498898471372618</v>
      </c>
      <c r="D28" s="10">
        <f>EXP('Table 8 - Log Widths'!$G28-'Table 8 - Log Widths'!C28)</f>
        <v>4.347155786893933</v>
      </c>
      <c r="E28" s="10">
        <f>EXP('Table 8 - Log Widths'!$G28-'Table 8 - Log Widths'!D28)</f>
        <v>11.196374860547479</v>
      </c>
      <c r="F28" s="10">
        <f>EXP('Table 8 - Log Widths'!$G28-'Table 8 - Log Widths'!E28)</f>
        <v>9.7476281447384068</v>
      </c>
      <c r="G28" s="10">
        <f>EXP('Table 8 - Log Widths'!$G28-'Table 8 - Log Widths'!F28)</f>
        <v>10.52214669646396</v>
      </c>
      <c r="H28" s="10">
        <f t="shared" si="0"/>
        <v>2.7906976744186052</v>
      </c>
      <c r="I28" s="10">
        <f t="shared" si="1"/>
        <v>2.7924528301886791</v>
      </c>
      <c r="J28" s="10">
        <f t="shared" si="2"/>
        <v>1.0842105263157895</v>
      </c>
      <c r="K28" s="10">
        <f t="shared" si="3"/>
        <v>1.2453519256308103</v>
      </c>
      <c r="L28" s="10">
        <f t="shared" si="4"/>
        <v>1.1536835429658598</v>
      </c>
      <c r="M28" s="10"/>
      <c r="N28" s="8">
        <f t="array" ref="N28">IF(AND(A28&lt;&gt;"gpt-4o-mini",INDEX(Corpus!$Q$3:$Q$60,MATCH(A28,Corpus!$A$3:$A$60,0))&lt;&gt;"None"),1,0)</f>
        <v>1</v>
      </c>
      <c r="O28" s="4">
        <f>EXP('Table 8 - Log Widths'!$G28-'Table 8 - Log Widths'!$B28-'Table 8 - Log Widths'!$C28)</f>
        <v>1.5577308236369927</v>
      </c>
      <c r="P28" s="4">
        <f>EXP('Table 8 - Log Widths'!$G28-'Table 8 - Log Widths'!$B28-'Table 8 - Log Widths'!$C28-'Table 8 - Log Widths'!$E28)</f>
        <v>1.2508358413208802</v>
      </c>
      <c r="Q28" s="4">
        <f>EXP('Table 8 - Log Widths'!$G28-'Table 8 - Log Widths'!$B28-'Table 8 - Log Widths'!$C28-'Table 8 - Log Widths'!$E28-'Table 8 - Log Widths'!$F28)</f>
        <v>1.0842105263157902</v>
      </c>
      <c r="R28" s="4">
        <f>EXP('Table 8 - Log Widths'!$G28-'Table 8 - Log Widths'!$B28-'Table 8 - Log Widths'!$C28-'Table 8 - Log Widths'!$E28-'Table 8 - Log Widths'!$F28-'Table 8 - Log Widths'!$D28)</f>
        <v>1.0000000000000007</v>
      </c>
    </row>
    <row r="29" spans="1:18" ht="15.75" customHeight="1" x14ac:dyDescent="0.15">
      <c r="A29" s="10" t="str">
        <f>'Table 8 - Log Widths'!A29</f>
        <v>gpt-5.5 (minimal)</v>
      </c>
      <c r="B29" s="10">
        <f>'Table 8 - Log Widths'!H29</f>
        <v>12.258950526879572</v>
      </c>
      <c r="C29" s="10">
        <f>EXP('Table 8 - Log Widths'!$G29-'Table 8 - Log Widths'!B29)</f>
        <v>4.3927906054651791</v>
      </c>
      <c r="D29" s="10">
        <f>EXP('Table 8 - Log Widths'!$G29-'Table 8 - Log Widths'!C29)</f>
        <v>4.3900295805717384</v>
      </c>
      <c r="E29" s="10">
        <f>EXP('Table 8 - Log Widths'!$G29-'Table 8 - Log Widths'!D29)</f>
        <v>11.306799029646205</v>
      </c>
      <c r="F29" s="10">
        <f>EXP('Table 8 - Log Widths'!$G29-'Table 8 - Log Widths'!E29)</f>
        <v>9.7998955320830436</v>
      </c>
      <c r="G29" s="10">
        <f>EXP('Table 8 - Log Widths'!$G29-'Table 8 - Log Widths'!F29)</f>
        <v>10.569248329200931</v>
      </c>
      <c r="H29" s="10">
        <f t="shared" si="0"/>
        <v>2.7906976744186052</v>
      </c>
      <c r="I29" s="10">
        <f t="shared" si="1"/>
        <v>2.7924528301886791</v>
      </c>
      <c r="J29" s="10">
        <f t="shared" si="2"/>
        <v>1.0842105263157895</v>
      </c>
      <c r="K29" s="10">
        <f t="shared" si="3"/>
        <v>1.2509266539368749</v>
      </c>
      <c r="L29" s="10">
        <f t="shared" si="4"/>
        <v>1.1598696657557281</v>
      </c>
      <c r="M29" s="10"/>
      <c r="N29" s="8">
        <f t="array" ref="N29">IF(AND(A29&lt;&gt;"gpt-4o-mini",INDEX(Corpus!$Q$3:$Q$60,MATCH(A29,Corpus!$A$3:$A$60,0))&lt;&gt;"None"),1,0)</f>
        <v>1</v>
      </c>
      <c r="O29" s="4">
        <f>EXP('Table 8 - Log Widths'!$G29-'Table 8 - Log Widths'!$B29-'Table 8 - Log Widths'!$C29)</f>
        <v>1.5730939330382063</v>
      </c>
      <c r="P29" s="4">
        <f>EXP('Table 8 - Log Widths'!$G29-'Table 8 - Log Widths'!$B29-'Table 8 - Log Widths'!$C29-'Table 8 - Log Widths'!$E29)</f>
        <v>1.2575429007667371</v>
      </c>
      <c r="Q29" s="4">
        <f>EXP('Table 8 - Log Widths'!$G29-'Table 8 - Log Widths'!$B29-'Table 8 - Log Widths'!$C29-'Table 8 - Log Widths'!$E29-'Table 8 - Log Widths'!$F29)</f>
        <v>1.0842105263157895</v>
      </c>
      <c r="R29" s="4">
        <f>EXP('Table 8 - Log Widths'!$G29-'Table 8 - Log Widths'!$B29-'Table 8 - Log Widths'!$C29-'Table 8 - Log Widths'!$E29-'Table 8 - Log Widths'!$F29-'Table 8 - Log Widths'!$D29)</f>
        <v>1</v>
      </c>
    </row>
    <row r="30" spans="1:18" ht="15.75" customHeight="1" x14ac:dyDescent="0.15">
      <c r="A30" s="10" t="str">
        <f>'Table 8 - Log Widths'!A30</f>
        <v>gpt-5.5 (low)</v>
      </c>
      <c r="B30" s="10">
        <f>'Table 8 - Log Widths'!H30</f>
        <v>10.937430725900342</v>
      </c>
      <c r="C30" s="10">
        <f>EXP('Table 8 - Log Widths'!$G30-'Table 8 - Log Widths'!B30)</f>
        <v>3.9192460101142887</v>
      </c>
      <c r="D30" s="10">
        <f>EXP('Table 8 - Log Widths'!$G30-'Table 8 - Log Widths'!C30)</f>
        <v>3.9167826248156627</v>
      </c>
      <c r="E30" s="10">
        <f>EXP('Table 8 - Log Widths'!$G30-'Table 8 - Log Widths'!D30)</f>
        <v>10.087921543306138</v>
      </c>
      <c r="F30" s="10">
        <f>EXP('Table 8 - Log Widths'!$G30-'Table 8 - Log Widths'!E30)</f>
        <v>8.7665831777977044</v>
      </c>
      <c r="G30" s="10">
        <f>EXP('Table 8 - Log Widths'!$G30-'Table 8 - Log Widths'!F30)</f>
        <v>10.541373786935818</v>
      </c>
      <c r="H30" s="10">
        <f t="shared" si="0"/>
        <v>2.7906976744186047</v>
      </c>
      <c r="I30" s="10">
        <f t="shared" si="1"/>
        <v>2.7924528301886795</v>
      </c>
      <c r="J30" s="10">
        <f t="shared" si="2"/>
        <v>1.0842105263157897</v>
      </c>
      <c r="K30" s="10">
        <f t="shared" si="3"/>
        <v>1.2476275538684829</v>
      </c>
      <c r="L30" s="10">
        <f t="shared" si="4"/>
        <v>1.0375716625716629</v>
      </c>
      <c r="M30" s="10"/>
      <c r="N30" s="8">
        <f t="array" ref="N30">IF(AND(A30&lt;&gt;"gpt-4o-mini",INDEX(Corpus!$Q$3:$Q$60,MATCH(A30,Corpus!$A$3:$A$60,0))&lt;&gt;"None"),1,0)</f>
        <v>1</v>
      </c>
      <c r="O30" s="4">
        <f>EXP('Table 8 - Log Widths'!$G30-'Table 8 - Log Widths'!$B30-'Table 8 - Log Widths'!$C30)</f>
        <v>1.4035137738922792</v>
      </c>
      <c r="P30" s="4">
        <f>EXP('Table 8 - Log Widths'!$G30-'Table 8 - Log Widths'!$B30-'Table 8 - Log Widths'!$C30-'Table 8 - Log Widths'!$E30)</f>
        <v>1.1249461183671718</v>
      </c>
      <c r="Q30" s="4">
        <f>EXP('Table 8 - Log Widths'!$G30-'Table 8 - Log Widths'!$B30-'Table 8 - Log Widths'!$C30-'Table 8 - Log Widths'!$E30-'Table 8 - Log Widths'!$F30)</f>
        <v>1.0842105263157902</v>
      </c>
      <c r="R30" s="4">
        <f>EXP('Table 8 - Log Widths'!$G30-'Table 8 - Log Widths'!$B30-'Table 8 - Log Widths'!$C30-'Table 8 - Log Widths'!$E30-'Table 8 - Log Widths'!$F30-'Table 8 - Log Widths'!$D30)</f>
        <v>1.0000000000000007</v>
      </c>
    </row>
    <row r="31" spans="1:18" ht="15.75" customHeight="1" x14ac:dyDescent="0.15">
      <c r="A31" s="10" t="str">
        <f>'Table 8 - Log Widths'!A31</f>
        <v>gpt-5.5 (medium)</v>
      </c>
      <c r="B31" s="10">
        <f>'Table 8 - Log Widths'!H31</f>
        <v>12.584141653710901</v>
      </c>
      <c r="C31" s="10">
        <f>EXP('Table 8 - Log Widths'!$G31-'Table 8 - Log Widths'!B31)</f>
        <v>4.5093174259130722</v>
      </c>
      <c r="D31" s="10">
        <f>EXP('Table 8 - Log Widths'!$G31-'Table 8 - Log Widths'!C31)</f>
        <v>4.5064831597748496</v>
      </c>
      <c r="E31" s="10">
        <f>EXP('Table 8 - Log Widths'!$G31-'Table 8 - Log Widths'!D31)</f>
        <v>11.606732593228498</v>
      </c>
      <c r="F31" s="10">
        <f>EXP('Table 8 - Log Widths'!$G31-'Table 8 - Log Widths'!E31)</f>
        <v>10.058659732978839</v>
      </c>
      <c r="G31" s="10">
        <f>EXP('Table 8 - Log Widths'!$G31-'Table 8 - Log Widths'!F31)</f>
        <v>10.570505024829565</v>
      </c>
      <c r="H31" s="10">
        <f t="shared" si="0"/>
        <v>2.7906976744186052</v>
      </c>
      <c r="I31" s="10">
        <f t="shared" si="1"/>
        <v>2.7924528301886795</v>
      </c>
      <c r="J31" s="10">
        <f t="shared" si="2"/>
        <v>1.0842105263157897</v>
      </c>
      <c r="K31" s="10">
        <f t="shared" si="3"/>
        <v>1.251075390536563</v>
      </c>
      <c r="L31" s="10">
        <f t="shared" si="4"/>
        <v>1.1904957827607487</v>
      </c>
      <c r="M31" s="10"/>
      <c r="N31" s="8">
        <f t="array" ref="N31">IF(AND(A31&lt;&gt;"gpt-4o-mini",INDEX(Corpus!$Q$3:$Q$60,MATCH(A31,Corpus!$A$3:$A$60,0))&lt;&gt;"None"),1,0)</f>
        <v>1</v>
      </c>
      <c r="O31" s="4">
        <f>EXP('Table 8 - Log Widths'!$G31-'Table 8 - Log Widths'!$B31-'Table 8 - Log Widths'!$C31)</f>
        <v>1.6148231322526543</v>
      </c>
      <c r="P31" s="4">
        <f>EXP('Table 8 - Log Widths'!$G31-'Table 8 - Log Widths'!$B31-'Table 8 - Log Widths'!$C31-'Table 8 - Log Widths'!$E31)</f>
        <v>1.2907480592037595</v>
      </c>
      <c r="Q31" s="4">
        <f>EXP('Table 8 - Log Widths'!$G31-'Table 8 - Log Widths'!$B31-'Table 8 - Log Widths'!$C31-'Table 8 - Log Widths'!$E31-'Table 8 - Log Widths'!$F31)</f>
        <v>1.0842105263157895</v>
      </c>
      <c r="R31" s="4">
        <f>EXP('Table 8 - Log Widths'!$G31-'Table 8 - Log Widths'!$B31-'Table 8 - Log Widths'!$C31-'Table 8 - Log Widths'!$E31-'Table 8 - Log Widths'!$F31-'Table 8 - Log Widths'!$D31)</f>
        <v>0.99999999999999989</v>
      </c>
    </row>
    <row r="32" spans="1:18" ht="15.75" customHeight="1" x14ac:dyDescent="0.15">
      <c r="A32" s="10" t="str">
        <f>'Table 8 - Log Widths'!A32</f>
        <v>gpt-5.5 (high)</v>
      </c>
      <c r="B32" s="10">
        <f>'Table 8 - Log Widths'!H32</f>
        <v>10.948895795333101</v>
      </c>
      <c r="C32" s="10">
        <f>EXP('Table 8 - Log Widths'!$G32-'Table 8 - Log Widths'!B32)</f>
        <v>3.9233543266610273</v>
      </c>
      <c r="D32" s="10">
        <f>EXP('Table 8 - Log Widths'!$G32-'Table 8 - Log Widths'!C32)</f>
        <v>3.9208883591395565</v>
      </c>
      <c r="E32" s="10">
        <f>EXP('Table 8 - Log Widths'!$G32-'Table 8 - Log Widths'!D32)</f>
        <v>10.098496121909168</v>
      </c>
      <c r="F32" s="10">
        <f>EXP('Table 8 - Log Widths'!$G32-'Table 8 - Log Widths'!E32)</f>
        <v>8.7766680002035233</v>
      </c>
      <c r="G32" s="10">
        <f>EXP('Table 8 - Log Widths'!$G32-'Table 8 - Log Widths'!F32)</f>
        <v>10.540298440151354</v>
      </c>
      <c r="H32" s="10">
        <f t="shared" si="0"/>
        <v>2.7906976744186052</v>
      </c>
      <c r="I32" s="10">
        <f t="shared" si="1"/>
        <v>2.7924528301886791</v>
      </c>
      <c r="J32" s="10">
        <f t="shared" si="2"/>
        <v>1.0842105263157897</v>
      </c>
      <c r="K32" s="10">
        <f t="shared" si="3"/>
        <v>1.2475002808673183</v>
      </c>
      <c r="L32" s="10">
        <f t="shared" si="4"/>
        <v>1.038765254845657</v>
      </c>
      <c r="M32" s="10"/>
      <c r="N32" s="8">
        <f t="array" ref="N32">IF(AND(A32&lt;&gt;"gpt-4o-mini",INDEX(Corpus!$Q$3:$Q$60,MATCH(A32,Corpus!$A$3:$A$60,0))&lt;&gt;"None"),1,0)</f>
        <v>1</v>
      </c>
      <c r="O32" s="4">
        <f>EXP('Table 8 - Log Widths'!$G32-'Table 8 - Log Widths'!$B32-'Table 8 - Log Widths'!$C32)</f>
        <v>1.4049849953583409</v>
      </c>
      <c r="P32" s="4">
        <f>EXP('Table 8 - Log Widths'!$G32-'Table 8 - Log Widths'!$B32-'Table 8 - Log Widths'!$C32-'Table 8 - Log Widths'!$E32)</f>
        <v>1.1262402236747651</v>
      </c>
      <c r="Q32" s="4">
        <f>EXP('Table 8 - Log Widths'!$G32-'Table 8 - Log Widths'!$B32-'Table 8 - Log Widths'!$C32-'Table 8 - Log Widths'!$E32-'Table 8 - Log Widths'!$F32)</f>
        <v>1.08421052631579</v>
      </c>
      <c r="R32" s="4">
        <f>EXP('Table 8 - Log Widths'!$G32-'Table 8 - Log Widths'!$B32-'Table 8 - Log Widths'!$C32-'Table 8 - Log Widths'!$E32-'Table 8 - Log Widths'!$F32-'Table 8 - Log Widths'!$D32)</f>
        <v>1.0000000000000004</v>
      </c>
    </row>
    <row r="33" spans="1:18" ht="15.75" customHeight="1" x14ac:dyDescent="0.15">
      <c r="A33" s="10" t="str">
        <f>'Table 8 - Log Widths'!A33</f>
        <v>gpt-5.5 (xhigh)</v>
      </c>
      <c r="B33" s="10">
        <f>'Table 8 - Log Widths'!H33</f>
        <v>11.92915972512739</v>
      </c>
      <c r="C33" s="10">
        <f>EXP('Table 8 - Log Widths'!$G33-'Table 8 - Log Widths'!B33)</f>
        <v>4.2746155681706473</v>
      </c>
      <c r="D33" s="10">
        <f>EXP('Table 8 - Log Widths'!$G33-'Table 8 - Log Widths'!C33)</f>
        <v>4.2719288204848089</v>
      </c>
      <c r="E33" s="10">
        <f>EXP('Table 8 - Log Widths'!$G33-'Table 8 - Log Widths'!D33)</f>
        <v>11.002623047447591</v>
      </c>
      <c r="F33" s="10">
        <f>EXP('Table 8 - Log Widths'!$G33-'Table 8 - Log Widths'!E33)</f>
        <v>9.6235963415154497</v>
      </c>
      <c r="G33" s="10">
        <f>EXP('Table 8 - Log Widths'!$G33-'Table 8 - Log Widths'!F33)</f>
        <v>10.473328146296399</v>
      </c>
      <c r="H33" s="10">
        <f t="shared" si="0"/>
        <v>2.7906976744186052</v>
      </c>
      <c r="I33" s="10">
        <f t="shared" si="1"/>
        <v>2.7924528301886791</v>
      </c>
      <c r="J33" s="10">
        <f t="shared" si="2"/>
        <v>1.0842105263157897</v>
      </c>
      <c r="K33" s="10">
        <f t="shared" si="3"/>
        <v>1.2395739910313899</v>
      </c>
      <c r="L33" s="10">
        <f t="shared" si="4"/>
        <v>1.13900372054568</v>
      </c>
      <c r="M33" s="10"/>
      <c r="N33" s="8">
        <f t="array" ref="N33">IF(AND(A33&lt;&gt;"gpt-4o-mini",INDEX(Corpus!$Q$3:$Q$60,MATCH(A33,Corpus!$A$3:$A$60,0))&lt;&gt;"None"),1,0)</f>
        <v>1</v>
      </c>
      <c r="O33" s="4">
        <f>EXP('Table 8 - Log Widths'!$G33-'Table 8 - Log Widths'!$B33-'Table 8 - Log Widths'!$C33)</f>
        <v>1.5307744940070562</v>
      </c>
      <c r="P33" s="4">
        <f>EXP('Table 8 - Log Widths'!$G33-'Table 8 - Log Widths'!$B33-'Table 8 - Log Widths'!$C33-'Table 8 - Log Widths'!$E33)</f>
        <v>1.2349198233284746</v>
      </c>
      <c r="Q33" s="4">
        <f>EXP('Table 8 - Log Widths'!$G33-'Table 8 - Log Widths'!$B33-'Table 8 - Log Widths'!$C33-'Table 8 - Log Widths'!$E33-'Table 8 - Log Widths'!$F33)</f>
        <v>1.0842105263157897</v>
      </c>
      <c r="R33" s="4">
        <f>EXP('Table 8 - Log Widths'!$G33-'Table 8 - Log Widths'!$B33-'Table 8 - Log Widths'!$C33-'Table 8 - Log Widths'!$E33-'Table 8 - Log Widths'!$F33-'Table 8 - Log Widths'!$D33)</f>
        <v>1.0000000000000002</v>
      </c>
    </row>
    <row r="34" spans="1:18" ht="15.75" customHeight="1" x14ac:dyDescent="0.15">
      <c r="A34" s="10" t="str">
        <f>'Table 8 - Log Widths'!A34</f>
        <v>gpt-5.6-luna (minimal)</v>
      </c>
      <c r="B34" s="10">
        <f>'Table 8 - Log Widths'!H34</f>
        <v>11.063314498349548</v>
      </c>
      <c r="C34" s="10">
        <f>EXP('Table 8 - Log Widths'!$G34-'Table 8 - Log Widths'!B34)</f>
        <v>3.9643543619085877</v>
      </c>
      <c r="D34" s="10">
        <f>EXP('Table 8 - Log Widths'!$G34-'Table 8 - Log Widths'!C34)</f>
        <v>3.9618626244089601</v>
      </c>
      <c r="E34" s="10">
        <f>EXP('Table 8 - Log Widths'!$G34-'Table 8 - Log Widths'!D34)</f>
        <v>10.204027935370942</v>
      </c>
      <c r="F34" s="10">
        <f>EXP('Table 8 - Log Widths'!$G34-'Table 8 - Log Widths'!E34)</f>
        <v>8.7653350083544161</v>
      </c>
      <c r="G34" s="10">
        <f>EXP('Table 8 - Log Widths'!$G34-'Table 8 - Log Widths'!F34)</f>
        <v>10.664217514295295</v>
      </c>
      <c r="H34" s="10">
        <f t="shared" si="0"/>
        <v>2.7906976744186052</v>
      </c>
      <c r="I34" s="10">
        <f t="shared" si="1"/>
        <v>2.7924528301886791</v>
      </c>
      <c r="J34" s="10">
        <f t="shared" si="2"/>
        <v>1.0842105263157895</v>
      </c>
      <c r="K34" s="10">
        <f t="shared" si="3"/>
        <v>1.2621667612024963</v>
      </c>
      <c r="L34" s="10">
        <f t="shared" si="4"/>
        <v>1.0374239350912777</v>
      </c>
      <c r="M34" s="10"/>
      <c r="N34" s="8">
        <f t="array" ref="N34">IF(AND(A34&lt;&gt;"gpt-4o-mini",INDEX(Corpus!$Q$3:$Q$60,MATCH(A34,Corpus!$A$3:$A$60,0))&lt;&gt;"None"),1,0)</f>
        <v>1</v>
      </c>
      <c r="O34" s="4">
        <f>EXP('Table 8 - Log Widths'!$G34-'Table 8 - Log Widths'!$B34-'Table 8 - Log Widths'!$C34)</f>
        <v>1.4196674404132106</v>
      </c>
      <c r="P34" s="4">
        <f>EXP('Table 8 - Log Widths'!$G34-'Table 8 - Log Widths'!$B34-'Table 8 - Log Widths'!$C34-'Table 8 - Log Widths'!$E34)</f>
        <v>1.1247859506779121</v>
      </c>
      <c r="Q34" s="4">
        <f>EXP('Table 8 - Log Widths'!$G34-'Table 8 - Log Widths'!$B34-'Table 8 - Log Widths'!$C34-'Table 8 - Log Widths'!$E34-'Table 8 - Log Widths'!$F34)</f>
        <v>1.08421052631579</v>
      </c>
      <c r="R34" s="4">
        <f>EXP('Table 8 - Log Widths'!$G34-'Table 8 - Log Widths'!$B34-'Table 8 - Log Widths'!$C34-'Table 8 - Log Widths'!$E34-'Table 8 - Log Widths'!$F34-'Table 8 - Log Widths'!$D34)</f>
        <v>1.0000000000000004</v>
      </c>
    </row>
    <row r="35" spans="1:18" ht="15.75" customHeight="1" x14ac:dyDescent="0.15">
      <c r="A35" s="10" t="str">
        <f>'Table 8 - Log Widths'!A35</f>
        <v>gpt-5.6-luna (low)</v>
      </c>
      <c r="B35" s="10">
        <f>'Table 8 - Log Widths'!H35</f>
        <v>10.900618865575085</v>
      </c>
      <c r="C35" s="10">
        <f>EXP('Table 8 - Log Widths'!$G35-'Table 8 - Log Widths'!B35)</f>
        <v>3.9060550934977383</v>
      </c>
      <c r="D35" s="10">
        <f>EXP('Table 8 - Log Widths'!$G35-'Table 8 - Log Widths'!C35)</f>
        <v>3.9035999991586454</v>
      </c>
      <c r="E35" s="10">
        <f>EXP('Table 8 - Log Widths'!$G35-'Table 8 - Log Widths'!D35)</f>
        <v>10.053968856598377</v>
      </c>
      <c r="F35" s="10">
        <f>EXP('Table 8 - Log Widths'!$G35-'Table 8 - Log Widths'!E35)</f>
        <v>8.6716819623903234</v>
      </c>
      <c r="G35" s="10">
        <f>EXP('Table 8 - Log Widths'!$G35-'Table 8 - Log Widths'!F35)</f>
        <v>10.620869414817847</v>
      </c>
      <c r="H35" s="10">
        <f t="shared" si="0"/>
        <v>2.7906976744186052</v>
      </c>
      <c r="I35" s="10">
        <f t="shared" si="1"/>
        <v>2.7924528301886791</v>
      </c>
      <c r="J35" s="10">
        <f t="shared" si="2"/>
        <v>1.0842105263157897</v>
      </c>
      <c r="K35" s="10">
        <f t="shared" si="3"/>
        <v>1.2570362834859272</v>
      </c>
      <c r="L35" s="10">
        <f t="shared" si="4"/>
        <v>1.0263395998793603</v>
      </c>
      <c r="M35" s="10"/>
      <c r="N35" s="8">
        <f t="array" ref="N35">IF(AND(A35&lt;&gt;"gpt-4o-mini",INDEX(Corpus!$Q$3:$Q$60,MATCH(A35,Corpus!$A$3:$A$60,0))&lt;&gt;"None"),1,0)</f>
        <v>1</v>
      </c>
      <c r="O35" s="4">
        <f>EXP('Table 8 - Log Widths'!$G35-'Table 8 - Log Widths'!$B35-'Table 8 - Log Widths'!$C35)</f>
        <v>1.3987899996985145</v>
      </c>
      <c r="P35" s="4">
        <f>EXP('Table 8 - Log Widths'!$G35-'Table 8 - Log Widths'!$B35-'Table 8 - Log Widths'!$C35-'Table 8 - Log Widths'!$E35)</f>
        <v>1.1127681977639383</v>
      </c>
      <c r="Q35" s="4">
        <f>EXP('Table 8 - Log Widths'!$G35-'Table 8 - Log Widths'!$B35-'Table 8 - Log Widths'!$C35-'Table 8 - Log Widths'!$E35-'Table 8 - Log Widths'!$F35)</f>
        <v>1.0842105263157895</v>
      </c>
      <c r="R35" s="4">
        <f>EXP('Table 8 - Log Widths'!$G35-'Table 8 - Log Widths'!$B35-'Table 8 - Log Widths'!$C35-'Table 8 - Log Widths'!$E35-'Table 8 - Log Widths'!$F35-'Table 8 - Log Widths'!$D35)</f>
        <v>1</v>
      </c>
    </row>
    <row r="36" spans="1:18" ht="15.75" customHeight="1" x14ac:dyDescent="0.15">
      <c r="A36" s="10" t="str">
        <f>'Table 8 - Log Widths'!A36</f>
        <v>gpt-5.6-luna (medium)</v>
      </c>
      <c r="B36" s="10">
        <f>'Table 8 - Log Widths'!H36</f>
        <v>10.919348998318478</v>
      </c>
      <c r="C36" s="10">
        <f>EXP('Table 8 - Log Widths'!$G36-'Table 8 - Log Widths'!B36)</f>
        <v>3.9127667243974544</v>
      </c>
      <c r="D36" s="10">
        <f>EXP('Table 8 - Log Widths'!$G36-'Table 8 - Log Widths'!C36)</f>
        <v>3.9103074115599958</v>
      </c>
      <c r="E36" s="10">
        <f>EXP('Table 8 - Log Widths'!$G36-'Table 8 - Log Widths'!D36)</f>
        <v>10.071244221750051</v>
      </c>
      <c r="F36" s="10">
        <f>EXP('Table 8 - Log Widths'!$G36-'Table 8 - Log Widths'!E36)</f>
        <v>8.6853731807609815</v>
      </c>
      <c r="G36" s="10">
        <f>EXP('Table 8 - Log Widths'!$G36-'Table 8 - Log Widths'!F36)</f>
        <v>10.622347852154473</v>
      </c>
      <c r="H36" s="10">
        <f t="shared" si="0"/>
        <v>2.7906976744186047</v>
      </c>
      <c r="I36" s="10">
        <f t="shared" si="1"/>
        <v>2.7924528301886791</v>
      </c>
      <c r="J36" s="10">
        <f t="shared" si="2"/>
        <v>1.0842105263157895</v>
      </c>
      <c r="K36" s="10">
        <f t="shared" si="3"/>
        <v>1.2572112643940261</v>
      </c>
      <c r="L36" s="10">
        <f t="shared" si="4"/>
        <v>1.0279600282628445</v>
      </c>
      <c r="M36" s="10"/>
      <c r="N36" s="8">
        <f t="array" ref="N36">IF(AND(A36&lt;&gt;"gpt-4o-mini",INDEX(Corpus!$Q$3:$Q$60,MATCH(A36,Corpus!$A$3:$A$60,0))&lt;&gt;"None"),1,0)</f>
        <v>1</v>
      </c>
      <c r="O36" s="4">
        <f>EXP('Table 8 - Log Widths'!$G36-'Table 8 - Log Widths'!$B36-'Table 8 - Log Widths'!$C36)</f>
        <v>1.4011934891423317</v>
      </c>
      <c r="P36" s="4">
        <f>EXP('Table 8 - Log Widths'!$G36-'Table 8 - Log Widths'!$B36-'Table 8 - Log Widths'!$C36-'Table 8 - Log Widths'!$E36)</f>
        <v>1.1145250832744527</v>
      </c>
      <c r="Q36" s="4">
        <f>EXP('Table 8 - Log Widths'!$G36-'Table 8 - Log Widths'!$B36-'Table 8 - Log Widths'!$C36-'Table 8 - Log Widths'!$E36-'Table 8 - Log Widths'!$F36)</f>
        <v>1.0842105263157897</v>
      </c>
      <c r="R36" s="4">
        <f>EXP('Table 8 - Log Widths'!$G36-'Table 8 - Log Widths'!$B36-'Table 8 - Log Widths'!$C36-'Table 8 - Log Widths'!$E36-'Table 8 - Log Widths'!$F36-'Table 8 - Log Widths'!$D36)</f>
        <v>1.0000000000000002</v>
      </c>
    </row>
    <row r="37" spans="1:18" ht="15.75" customHeight="1" x14ac:dyDescent="0.15">
      <c r="A37" s="10" t="str">
        <f>'Table 8 - Log Widths'!A37</f>
        <v>gpt-5.6-luna (high)</v>
      </c>
      <c r="B37" s="10">
        <f>'Table 8 - Log Widths'!H37</f>
        <v>11.824299168650947</v>
      </c>
      <c r="C37" s="10">
        <f>EXP('Table 8 - Log Widths'!$G37-'Table 8 - Log Widths'!B37)</f>
        <v>4.2370405354332554</v>
      </c>
      <c r="D37" s="10">
        <f>EXP('Table 8 - Log Widths'!$G37-'Table 8 - Log Widths'!C37)</f>
        <v>4.2343774049898659</v>
      </c>
      <c r="E37" s="10">
        <f>EXP('Table 8 - Log Widths'!$G37-'Table 8 - Log Widths'!D37)</f>
        <v>10.905907000212036</v>
      </c>
      <c r="F37" s="10">
        <f>EXP('Table 8 - Log Widths'!$G37-'Table 8 - Log Widths'!E37)</f>
        <v>9.4273820179915671</v>
      </c>
      <c r="G37" s="10">
        <f>EXP('Table 8 - Log Widths'!$G37-'Table 8 - Log Widths'!F37)</f>
        <v>10.597332454618829</v>
      </c>
      <c r="H37" s="10">
        <f t="shared" si="0"/>
        <v>2.7906976744186052</v>
      </c>
      <c r="I37" s="10">
        <f t="shared" si="1"/>
        <v>2.7924528301886795</v>
      </c>
      <c r="J37" s="10">
        <f t="shared" si="2"/>
        <v>1.0842105263157897</v>
      </c>
      <c r="K37" s="10">
        <f t="shared" si="3"/>
        <v>1.2542505592841167</v>
      </c>
      <c r="L37" s="10">
        <f t="shared" si="4"/>
        <v>1.1157807136169768</v>
      </c>
      <c r="M37" s="10"/>
      <c r="N37" s="8">
        <f t="array" ref="N37">IF(AND(A37&lt;&gt;"gpt-4o-mini",INDEX(Corpus!$Q$3:$Q$60,MATCH(A37,Corpus!$A$3:$A$60,0))&lt;&gt;"None"),1,0)</f>
        <v>1</v>
      </c>
      <c r="O37" s="4">
        <f>EXP('Table 8 - Log Widths'!$G37-'Table 8 - Log Widths'!$B37-'Table 8 - Log Widths'!$C37)</f>
        <v>1.5173185701213685</v>
      </c>
      <c r="P37" s="4">
        <f>EXP('Table 8 - Log Widths'!$G37-'Table 8 - Log Widths'!$B37-'Table 8 - Log Widths'!$C37-'Table 8 - Log Widths'!$E37)</f>
        <v>1.2097411947636705</v>
      </c>
      <c r="Q37" s="4">
        <f>EXP('Table 8 - Log Widths'!$G37-'Table 8 - Log Widths'!$B37-'Table 8 - Log Widths'!$C37-'Table 8 - Log Widths'!$E37-'Table 8 - Log Widths'!$F37)</f>
        <v>1.08421052631579</v>
      </c>
      <c r="R37" s="4">
        <f>EXP('Table 8 - Log Widths'!$G37-'Table 8 - Log Widths'!$B37-'Table 8 - Log Widths'!$C37-'Table 8 - Log Widths'!$E37-'Table 8 - Log Widths'!$F37-'Table 8 - Log Widths'!$D37)</f>
        <v>1.0000000000000004</v>
      </c>
    </row>
    <row r="38" spans="1:18" ht="15.75" customHeight="1" x14ac:dyDescent="0.15">
      <c r="A38" s="10" t="str">
        <f>'Table 8 - Log Widths'!A38</f>
        <v>gpt-5.6-luna (xhigh)</v>
      </c>
      <c r="B38" s="10">
        <f>'Table 8 - Log Widths'!H38</f>
        <v>11.351069783859813</v>
      </c>
      <c r="C38" s="10">
        <f>EXP('Table 8 - Log Widths'!$G38-'Table 8 - Log Widths'!B38)</f>
        <v>4.0674666725497657</v>
      </c>
      <c r="D38" s="10">
        <f>EXP('Table 8 - Log Widths'!$G38-'Table 8 - Log Widths'!C38)</f>
        <v>4.0649101253011493</v>
      </c>
      <c r="E38" s="10">
        <f>EXP('Table 8 - Log Widths'!$G38-'Table 8 - Log Widths'!D38)</f>
        <v>10.46943329579303</v>
      </c>
      <c r="F38" s="10">
        <f>EXP('Table 8 - Log Widths'!$G38-'Table 8 - Log Widths'!E38)</f>
        <v>9.0477066852411809</v>
      </c>
      <c r="G38" s="10">
        <f>EXP('Table 8 - Log Widths'!$G38-'Table 8 - Log Widths'!F38)</f>
        <v>10.600114011332476</v>
      </c>
      <c r="H38" s="10">
        <f t="shared" si="0"/>
        <v>2.7906976744186052</v>
      </c>
      <c r="I38" s="10">
        <f t="shared" si="1"/>
        <v>2.7924528301886795</v>
      </c>
      <c r="J38" s="10">
        <f t="shared" si="2"/>
        <v>1.0842105263157897</v>
      </c>
      <c r="K38" s="10">
        <f t="shared" si="3"/>
        <v>1.2545797712889974</v>
      </c>
      <c r="L38" s="10">
        <f t="shared" si="4"/>
        <v>1.0708441222164684</v>
      </c>
      <c r="M38" s="10"/>
      <c r="N38" s="8">
        <f t="array" ref="N38">IF(AND(A38&lt;&gt;"gpt-4o-mini",INDEX(Corpus!$Q$3:$Q$60,MATCH(A38,Corpus!$A$3:$A$60,0))&lt;&gt;"None"),1,0)</f>
        <v>1</v>
      </c>
      <c r="O38" s="4">
        <f>EXP('Table 8 - Log Widths'!$G38-'Table 8 - Log Widths'!$B38-'Table 8 - Log Widths'!$C38)</f>
        <v>1.4565927948995785</v>
      </c>
      <c r="P38" s="4">
        <f>EXP('Table 8 - Log Widths'!$G38-'Table 8 - Log Widths'!$B38-'Table 8 - Log Widths'!$C38-'Table 8 - Log Widths'!$E38)</f>
        <v>1.1610204693504869</v>
      </c>
      <c r="Q38" s="4">
        <f>EXP('Table 8 - Log Widths'!$G38-'Table 8 - Log Widths'!$B38-'Table 8 - Log Widths'!$C38-'Table 8 - Log Widths'!$E38-'Table 8 - Log Widths'!$F38)</f>
        <v>1.08421052631579</v>
      </c>
      <c r="R38" s="4">
        <f>EXP('Table 8 - Log Widths'!$G38-'Table 8 - Log Widths'!$B38-'Table 8 - Log Widths'!$C38-'Table 8 - Log Widths'!$E38-'Table 8 - Log Widths'!$F38-'Table 8 - Log Widths'!$D38)</f>
        <v>1.0000000000000002</v>
      </c>
    </row>
    <row r="39" spans="1:18" ht="15.75" customHeight="1" x14ac:dyDescent="0.15">
      <c r="A39" s="10" t="str">
        <f>'Table 8 - Log Widths'!A39</f>
        <v>gpt-5.6-sol (minimal)</v>
      </c>
      <c r="B39" s="10">
        <f>'Table 8 - Log Widths'!H39</f>
        <v>10.767984750765978</v>
      </c>
      <c r="C39" s="10">
        <f>EXP('Table 8 - Log Widths'!$G39-'Table 8 - Log Widths'!B39)</f>
        <v>3.8585278690244751</v>
      </c>
      <c r="D39" s="10">
        <f>EXP('Table 8 - Log Widths'!$G39-'Table 8 - Log Widths'!C39)</f>
        <v>3.8561026472337625</v>
      </c>
      <c r="E39" s="10">
        <f>EXP('Table 8 - Log Widths'!$G39-'Table 8 - Log Widths'!D39)</f>
        <v>9.9316364206093954</v>
      </c>
      <c r="F39" s="10">
        <f>EXP('Table 8 - Log Widths'!$G39-'Table 8 - Log Widths'!E39)</f>
        <v>8.6996903385190141</v>
      </c>
      <c r="G39" s="10">
        <f>EXP('Table 8 - Log Widths'!$G39-'Table 8 - Log Widths'!F39)</f>
        <v>10.457861674511729</v>
      </c>
      <c r="H39" s="10">
        <f t="shared" si="0"/>
        <v>2.7906976744186047</v>
      </c>
      <c r="I39" s="10">
        <f t="shared" si="1"/>
        <v>2.7924528301886791</v>
      </c>
      <c r="J39" s="10">
        <f t="shared" si="2"/>
        <v>1.0842105263157895</v>
      </c>
      <c r="K39" s="10">
        <f t="shared" si="3"/>
        <v>1.2377434519811952</v>
      </c>
      <c r="L39" s="10">
        <f t="shared" si="4"/>
        <v>1.0296545398960566</v>
      </c>
      <c r="M39" s="10"/>
      <c r="N39" s="8">
        <f t="array" ref="N39">IF(AND(A39&lt;&gt;"gpt-4o-mini",INDEX(Corpus!$Q$3:$Q$60,MATCH(A39,Corpus!$A$3:$A$60,0))&lt;&gt;"None"),1,0)</f>
        <v>1</v>
      </c>
      <c r="O39" s="4">
        <f>EXP('Table 8 - Log Widths'!$G39-'Table 8 - Log Widths'!$B39-'Table 8 - Log Widths'!$C39)</f>
        <v>1.3817701152587649</v>
      </c>
      <c r="P39" s="4">
        <f>EXP('Table 8 - Log Widths'!$G39-'Table 8 - Log Widths'!$B39-'Table 8 - Log Widths'!$C39-'Table 8 - Log Widths'!$E39)</f>
        <v>1.1163622906241459</v>
      </c>
      <c r="Q39" s="4">
        <f>EXP('Table 8 - Log Widths'!$G39-'Table 8 - Log Widths'!$B39-'Table 8 - Log Widths'!$C39-'Table 8 - Log Widths'!$E39-'Table 8 - Log Widths'!$F39)</f>
        <v>1.08421052631579</v>
      </c>
      <c r="R39" s="4">
        <f>EXP('Table 8 - Log Widths'!$G39-'Table 8 - Log Widths'!$B39-'Table 8 - Log Widths'!$C39-'Table 8 - Log Widths'!$E39-'Table 8 - Log Widths'!$F39-'Table 8 - Log Widths'!$D39)</f>
        <v>1.0000000000000004</v>
      </c>
    </row>
    <row r="40" spans="1:18" ht="15.75" customHeight="1" x14ac:dyDescent="0.15">
      <c r="A40" s="10" t="str">
        <f>'Table 8 - Log Widths'!A40</f>
        <v>gpt-5.6-sol (low)</v>
      </c>
      <c r="B40" s="10">
        <f>'Table 8 - Log Widths'!H40</f>
        <v>10.86311656975759</v>
      </c>
      <c r="C40" s="10">
        <f>EXP('Table 8 - Log Widths'!$G40-'Table 8 - Log Widths'!B40)</f>
        <v>3.8926167708298025</v>
      </c>
      <c r="D40" s="10">
        <f>EXP('Table 8 - Log Widths'!$G40-'Table 8 - Log Widths'!C40)</f>
        <v>3.8901701229537315</v>
      </c>
      <c r="E40" s="10">
        <f>EXP('Table 8 - Log Widths'!$G40-'Table 8 - Log Widths'!D40)</f>
        <v>10.019379360456027</v>
      </c>
      <c r="F40" s="10">
        <f>EXP('Table 8 - Log Widths'!$G40-'Table 8 - Log Widths'!E40)</f>
        <v>8.6621816703154479</v>
      </c>
      <c r="G40" s="10">
        <f>EXP('Table 8 - Log Widths'!$G40-'Table 8 - Log Widths'!F40)</f>
        <v>10.595937981662999</v>
      </c>
      <c r="H40" s="10">
        <f t="shared" si="0"/>
        <v>2.7906976744186052</v>
      </c>
      <c r="I40" s="10">
        <f t="shared" si="1"/>
        <v>2.7924528301886795</v>
      </c>
      <c r="J40" s="10">
        <f t="shared" si="2"/>
        <v>1.0842105263157897</v>
      </c>
      <c r="K40" s="10">
        <f t="shared" si="3"/>
        <v>1.2540855160062685</v>
      </c>
      <c r="L40" s="10">
        <f t="shared" si="4"/>
        <v>1.0252151898734176</v>
      </c>
      <c r="M40" s="10"/>
      <c r="N40" s="8">
        <f t="array" ref="N40">IF(AND(A40&lt;&gt;"gpt-4o-mini",INDEX(Corpus!$Q$3:$Q$60,MATCH(A40,Corpus!$A$3:$A$60,0))&lt;&gt;"None"),1,0)</f>
        <v>1</v>
      </c>
      <c r="O40" s="4">
        <f>EXP('Table 8 - Log Widths'!$G40-'Table 8 - Log Widths'!$B40-'Table 8 - Log Widths'!$C40)</f>
        <v>1.3939776273917537</v>
      </c>
      <c r="P40" s="4">
        <f>EXP('Table 8 - Log Widths'!$G40-'Table 8 - Log Widths'!$B40-'Table 8 - Log Widths'!$C40-'Table 8 - Log Widths'!$E40)</f>
        <v>1.1115491005996008</v>
      </c>
      <c r="Q40" s="4">
        <f>EXP('Table 8 - Log Widths'!$G40-'Table 8 - Log Widths'!$B40-'Table 8 - Log Widths'!$C40-'Table 8 - Log Widths'!$E40-'Table 8 - Log Widths'!$F40)</f>
        <v>1.08421052631579</v>
      </c>
      <c r="R40" s="4">
        <f>EXP('Table 8 - Log Widths'!$G40-'Table 8 - Log Widths'!$B40-'Table 8 - Log Widths'!$C40-'Table 8 - Log Widths'!$E40-'Table 8 - Log Widths'!$F40-'Table 8 - Log Widths'!$D40)</f>
        <v>1.0000000000000004</v>
      </c>
    </row>
    <row r="41" spans="1:18" ht="15.75" customHeight="1" x14ac:dyDescent="0.15">
      <c r="A41" s="10" t="str">
        <f>'Table 8 - Log Widths'!A41</f>
        <v>gpt-5.6-sol (medium)</v>
      </c>
      <c r="B41" s="10">
        <f>'Table 8 - Log Widths'!H41</f>
        <v>10.936879649046865</v>
      </c>
      <c r="C41" s="10">
        <f>EXP('Table 8 - Log Widths'!$G41-'Table 8 - Log Widths'!B41)</f>
        <v>3.9190485409084599</v>
      </c>
      <c r="D41" s="10">
        <f>EXP('Table 8 - Log Widths'!$G41-'Table 8 - Log Widths'!C41)</f>
        <v>3.9165852797262426</v>
      </c>
      <c r="E41" s="10">
        <f>EXP('Table 8 - Log Widths'!$G41-'Table 8 - Log Widths'!D41)</f>
        <v>10.08741326853837</v>
      </c>
      <c r="F41" s="10">
        <f>EXP('Table 8 - Log Widths'!$G41-'Table 8 - Log Widths'!E41)</f>
        <v>8.704518100879417</v>
      </c>
      <c r="G41" s="10">
        <f>EXP('Table 8 - Log Widths'!$G41-'Table 8 - Log Widths'!F41)</f>
        <v>10.616001129263511</v>
      </c>
      <c r="H41" s="10">
        <f t="shared" si="0"/>
        <v>2.7906976744186047</v>
      </c>
      <c r="I41" s="10">
        <f t="shared" si="1"/>
        <v>2.7924528301886791</v>
      </c>
      <c r="J41" s="10">
        <f t="shared" si="2"/>
        <v>1.0842105263157895</v>
      </c>
      <c r="K41" s="10">
        <f t="shared" si="3"/>
        <v>1.2564600960439054</v>
      </c>
      <c r="L41" s="10">
        <f t="shared" si="4"/>
        <v>1.0302259312029307</v>
      </c>
      <c r="M41" s="10"/>
      <c r="N41" s="8">
        <f t="array" ref="N41">IF(AND(A41&lt;&gt;"gpt-4o-mini",INDEX(Corpus!$Q$3:$Q$60,MATCH(A41,Corpus!$A$3:$A$60,0))&lt;&gt;"None"),1,0)</f>
        <v>1</v>
      </c>
      <c r="O41" s="4">
        <f>EXP('Table 8 - Log Widths'!$G41-'Table 8 - Log Widths'!$B41-'Table 8 - Log Widths'!$C41)</f>
        <v>1.4034430585685702</v>
      </c>
      <c r="P41" s="4">
        <f>EXP('Table 8 - Log Widths'!$G41-'Table 8 - Log Widths'!$B41-'Table 8 - Log Widths'!$C41-'Table 8 - Log Widths'!$E41)</f>
        <v>1.1169817990937043</v>
      </c>
      <c r="Q41" s="4">
        <f>EXP('Table 8 - Log Widths'!$G41-'Table 8 - Log Widths'!$B41-'Table 8 - Log Widths'!$C41-'Table 8 - Log Widths'!$E41-'Table 8 - Log Widths'!$F41)</f>
        <v>1.0842105263157897</v>
      </c>
      <c r="R41" s="4">
        <f>EXP('Table 8 - Log Widths'!$G41-'Table 8 - Log Widths'!$B41-'Table 8 - Log Widths'!$C41-'Table 8 - Log Widths'!$E41-'Table 8 - Log Widths'!$F41-'Table 8 - Log Widths'!$D41)</f>
        <v>1.0000000000000002</v>
      </c>
    </row>
    <row r="42" spans="1:18" ht="15.75" customHeight="1" x14ac:dyDescent="0.15">
      <c r="A42" s="10" t="str">
        <f>'Table 8 - Log Widths'!A42</f>
        <v>gpt-5.6-sol (high)</v>
      </c>
      <c r="B42" s="10">
        <f>'Table 8 - Log Widths'!H42</f>
        <v>10.850516755939921</v>
      </c>
      <c r="C42" s="10">
        <f>EXP('Table 8 - Log Widths'!$G42-'Table 8 - Log Widths'!B42)</f>
        <v>3.8881018375451379</v>
      </c>
      <c r="D42" s="10">
        <f>EXP('Table 8 - Log Widths'!$G42-'Table 8 - Log Widths'!C42)</f>
        <v>3.8856580274649719</v>
      </c>
      <c r="E42" s="10">
        <f>EXP('Table 8 - Log Widths'!$G42-'Table 8 - Log Widths'!D42)</f>
        <v>10.007758172954293</v>
      </c>
      <c r="F42" s="10">
        <f>EXP('Table 8 - Log Widths'!$G42-'Table 8 - Log Widths'!E42)</f>
        <v>8.6678246749146108</v>
      </c>
      <c r="G42" s="10">
        <f>EXP('Table 8 - Log Widths'!$G42-'Table 8 - Log Widths'!F42)</f>
        <v>10.57675779949739</v>
      </c>
      <c r="H42" s="10">
        <f t="shared" si="0"/>
        <v>2.7906976744186052</v>
      </c>
      <c r="I42" s="10">
        <f t="shared" si="1"/>
        <v>2.7924528301886791</v>
      </c>
      <c r="J42" s="10">
        <f t="shared" si="2"/>
        <v>1.0842105263157897</v>
      </c>
      <c r="K42" s="10">
        <f t="shared" si="3"/>
        <v>1.2518154396156858</v>
      </c>
      <c r="L42" s="10">
        <f t="shared" si="4"/>
        <v>1.0258830694275272</v>
      </c>
      <c r="M42" s="10"/>
      <c r="N42" s="8">
        <f t="array" ref="N42">IF(AND(A42&lt;&gt;"gpt-4o-mini",INDEX(Corpus!$Q$3:$Q$60,MATCH(A42,Corpus!$A$3:$A$60,0))&lt;&gt;"None"),1,0)</f>
        <v>1</v>
      </c>
      <c r="O42" s="4">
        <f>EXP('Table 8 - Log Widths'!$G42-'Table 8 - Log Widths'!$B42-'Table 8 - Log Widths'!$C42)</f>
        <v>1.3923607931749482</v>
      </c>
      <c r="P42" s="4">
        <f>EXP('Table 8 - Log Widths'!$G42-'Table 8 - Log Widths'!$B42-'Table 8 - Log Widths'!$C42-'Table 8 - Log Widths'!$E42)</f>
        <v>1.1122732226424774</v>
      </c>
      <c r="Q42" s="4">
        <f>EXP('Table 8 - Log Widths'!$G42-'Table 8 - Log Widths'!$B42-'Table 8 - Log Widths'!$C42-'Table 8 - Log Widths'!$E42-'Table 8 - Log Widths'!$F42)</f>
        <v>1.0842105263157897</v>
      </c>
      <c r="R42" s="4">
        <f>EXP('Table 8 - Log Widths'!$G42-'Table 8 - Log Widths'!$B42-'Table 8 - Log Widths'!$C42-'Table 8 - Log Widths'!$E42-'Table 8 - Log Widths'!$F42-'Table 8 - Log Widths'!$D42)</f>
        <v>1.0000000000000002</v>
      </c>
    </row>
    <row r="43" spans="1:18" ht="15.75" customHeight="1" x14ac:dyDescent="0.15">
      <c r="A43" s="10" t="str">
        <f>'Table 8 - Log Widths'!A43</f>
        <v>gpt-5.6-sol (xhigh)</v>
      </c>
      <c r="B43" s="10">
        <f>'Table 8 - Log Widths'!H43</f>
        <v>11.702135937707762</v>
      </c>
      <c r="C43" s="10">
        <f>EXP('Table 8 - Log Widths'!$G43-'Table 8 - Log Widths'!B43)</f>
        <v>4.1932653776786148</v>
      </c>
      <c r="D43" s="10">
        <f>EXP('Table 8 - Log Widths'!$G43-'Table 8 - Log Widths'!C43)</f>
        <v>4.190629761476429</v>
      </c>
      <c r="E43" s="10">
        <f>EXP('Table 8 - Log Widths'!$G43-'Table 8 - Log Widths'!D43)</f>
        <v>10.793232175555701</v>
      </c>
      <c r="F43" s="10">
        <f>EXP('Table 8 - Log Widths'!$G43-'Table 8 - Log Widths'!E43)</f>
        <v>9.0904685931468485</v>
      </c>
      <c r="G43" s="10">
        <f>EXP('Table 8 - Log Widths'!$G43-'Table 8 - Log Widths'!F43)</f>
        <v>10.876549075861661</v>
      </c>
      <c r="H43" s="10">
        <f t="shared" si="0"/>
        <v>2.7906976744186047</v>
      </c>
      <c r="I43" s="10">
        <f t="shared" si="1"/>
        <v>2.7924528301886791</v>
      </c>
      <c r="J43" s="10">
        <f t="shared" si="2"/>
        <v>1.0842105263157897</v>
      </c>
      <c r="K43" s="10">
        <f t="shared" si="3"/>
        <v>1.2872973288230494</v>
      </c>
      <c r="L43" s="10">
        <f t="shared" si="4"/>
        <v>1.0759052210483129</v>
      </c>
      <c r="M43" s="10"/>
      <c r="N43" s="8">
        <f t="array" ref="N43">IF(AND(A43&lt;&gt;"gpt-4o-mini",INDEX(Corpus!$Q$3:$Q$60,MATCH(A43,Corpus!$A$3:$A$60,0))&lt;&gt;"None"),1,0)</f>
        <v>1</v>
      </c>
      <c r="O43" s="4">
        <f>EXP('Table 8 - Log Widths'!$G43-'Table 8 - Log Widths'!$B43-'Table 8 - Log Widths'!$C43)</f>
        <v>1.5016423311957201</v>
      </c>
      <c r="P43" s="4">
        <f>EXP('Table 8 - Log Widths'!$G43-'Table 8 - Log Widths'!$B43-'Table 8 - Log Widths'!$C43-'Table 8 - Log Widths'!$E43)</f>
        <v>1.1665077659786978</v>
      </c>
      <c r="Q43" s="4">
        <f>EXP('Table 8 - Log Widths'!$G43-'Table 8 - Log Widths'!$B43-'Table 8 - Log Widths'!$C43-'Table 8 - Log Widths'!$E43-'Table 8 - Log Widths'!$F43)</f>
        <v>1.0842105263157902</v>
      </c>
      <c r="R43" s="4">
        <f>EXP('Table 8 - Log Widths'!$G43-'Table 8 - Log Widths'!$B43-'Table 8 - Log Widths'!$C43-'Table 8 - Log Widths'!$E43-'Table 8 - Log Widths'!$F43-'Table 8 - Log Widths'!$D43)</f>
        <v>1.0000000000000007</v>
      </c>
    </row>
    <row r="44" spans="1:18" ht="15.75" customHeight="1" x14ac:dyDescent="0.15">
      <c r="A44" s="10" t="str">
        <f>'Table 8 - Log Widths'!A44</f>
        <v>gpt-5.6-sol (max)*</v>
      </c>
      <c r="B44" s="10">
        <f>'Table 8 - Log Widths'!H44</f>
        <v>11.740308907421198</v>
      </c>
      <c r="C44" s="10">
        <f>EXP('Table 8 - Log Widths'!$G44-'Table 8 - Log Widths'!B44)</f>
        <v>4.2069440251592622</v>
      </c>
      <c r="D44" s="10">
        <f>EXP('Table 8 - Log Widths'!$G44-'Table 8 - Log Widths'!C44)</f>
        <v>4.2042998114413752</v>
      </c>
      <c r="E44" s="10">
        <f>EXP('Table 8 - Log Widths'!$G44-'Table 8 - Log Widths'!D44)</f>
        <v>10.828440254417607</v>
      </c>
      <c r="F44" s="10">
        <f>EXP('Table 8 - Log Widths'!$G44-'Table 8 - Log Widths'!E44)</f>
        <v>9.0904685931468485</v>
      </c>
      <c r="G44" s="10">
        <f>EXP('Table 8 - Log Widths'!$G44-'Table 8 - Log Widths'!F44)</f>
        <v>10.912028938740512</v>
      </c>
      <c r="H44" s="10">
        <f t="shared" si="0"/>
        <v>2.7906976744186052</v>
      </c>
      <c r="I44" s="10">
        <f t="shared" si="1"/>
        <v>2.7924528301886791</v>
      </c>
      <c r="J44" s="10">
        <f t="shared" si="2"/>
        <v>1.0842105263157897</v>
      </c>
      <c r="K44" s="10">
        <f t="shared" si="3"/>
        <v>1.2914965589641902</v>
      </c>
      <c r="L44" s="10">
        <f t="shared" si="4"/>
        <v>1.0759052210483129</v>
      </c>
      <c r="M44" s="10"/>
      <c r="N44" s="8">
        <f t="array" ref="N44">IF(AND(A44&lt;&gt;"gpt-4o-mini",INDEX(Corpus!$Q$3:$Q$60,MATCH(A44,Corpus!$A$3:$A$60,0))&lt;&gt;"None"),1,0)</f>
        <v>1</v>
      </c>
      <c r="O44" s="4">
        <f>EXP('Table 8 - Log Widths'!$G44-'Table 8 - Log Widths'!$B44-'Table 8 - Log Widths'!$C44)</f>
        <v>1.5065407657664927</v>
      </c>
      <c r="P44" s="4">
        <f>EXP('Table 8 - Log Widths'!$G44-'Table 8 - Log Widths'!$B44-'Table 8 - Log Widths'!$C44-'Table 8 - Log Widths'!$E44)</f>
        <v>1.1665077659786978</v>
      </c>
      <c r="Q44" s="4">
        <f>EXP('Table 8 - Log Widths'!$G44-'Table 8 - Log Widths'!$B44-'Table 8 - Log Widths'!$C44-'Table 8 - Log Widths'!$E44-'Table 8 - Log Widths'!$F44)</f>
        <v>1.0842105263157902</v>
      </c>
      <c r="R44" s="4">
        <f>EXP('Table 8 - Log Widths'!$G44-'Table 8 - Log Widths'!$B44-'Table 8 - Log Widths'!$C44-'Table 8 - Log Widths'!$E44-'Table 8 - Log Widths'!$F44-'Table 8 - Log Widths'!$D44)</f>
        <v>1.0000000000000007</v>
      </c>
    </row>
    <row r="45" spans="1:18" ht="15.75" customHeight="1" x14ac:dyDescent="0.15">
      <c r="A45" s="10" t="str">
        <f>'Table 8 - Log Widths'!A45</f>
        <v>gpt-5.6-terra (minimal)</v>
      </c>
      <c r="B45" s="10">
        <f>'Table 8 - Log Widths'!H45</f>
        <v>11.047622035416664</v>
      </c>
      <c r="C45" s="10">
        <f>EXP('Table 8 - Log Widths'!$G45-'Table 8 - Log Widths'!B45)</f>
        <v>3.9587312293576375</v>
      </c>
      <c r="D45" s="10">
        <f>EXP('Table 8 - Log Widths'!$G45-'Table 8 - Log Widths'!C45)</f>
        <v>3.9562430261965083</v>
      </c>
      <c r="E45" s="10">
        <f>EXP('Table 8 - Log Widths'!$G45-'Table 8 - Log Widths'!D45)</f>
        <v>10.189554304510514</v>
      </c>
      <c r="F45" s="10">
        <f>EXP('Table 8 - Log Widths'!$G45-'Table 8 - Log Widths'!E45)</f>
        <v>8.8102165703953741</v>
      </c>
      <c r="G45" s="10">
        <f>EXP('Table 8 - Log Widths'!$G45-'Table 8 - Log Widths'!F45)</f>
        <v>10.594841866733274</v>
      </c>
      <c r="H45" s="10">
        <f t="shared" si="0"/>
        <v>2.7906976744186047</v>
      </c>
      <c r="I45" s="10">
        <f t="shared" si="1"/>
        <v>2.7924528301886791</v>
      </c>
      <c r="J45" s="10">
        <f t="shared" si="2"/>
        <v>1.0842105263157895</v>
      </c>
      <c r="K45" s="10">
        <f t="shared" si="3"/>
        <v>1.2539557849848499</v>
      </c>
      <c r="L45" s="10">
        <f t="shared" si="4"/>
        <v>1.0427359062436858</v>
      </c>
      <c r="M45" s="10"/>
      <c r="N45" s="8">
        <f t="array" ref="N45">IF(AND(A45&lt;&gt;"gpt-4o-mini",INDEX(Corpus!$Q$3:$Q$60,MATCH(A45,Corpus!$A$3:$A$60,0))&lt;&gt;"None"),1,0)</f>
        <v>1</v>
      </c>
      <c r="O45" s="4">
        <f>EXP('Table 8 - Log Widths'!$G45-'Table 8 - Log Widths'!$B45-'Table 8 - Log Widths'!$C45)</f>
        <v>1.4176537510537488</v>
      </c>
      <c r="P45" s="4">
        <f>EXP('Table 8 - Log Widths'!$G45-'Table 8 - Log Widths'!$B45-'Table 8 - Log Widths'!$C45-'Table 8 - Log Widths'!$E45)</f>
        <v>1.1305452457168386</v>
      </c>
      <c r="Q45" s="4">
        <f>EXP('Table 8 - Log Widths'!$G45-'Table 8 - Log Widths'!$B45-'Table 8 - Log Widths'!$C45-'Table 8 - Log Widths'!$E45-'Table 8 - Log Widths'!$F45)</f>
        <v>1.08421052631579</v>
      </c>
      <c r="R45" s="4">
        <f>EXP('Table 8 - Log Widths'!$G45-'Table 8 - Log Widths'!$B45-'Table 8 - Log Widths'!$C45-'Table 8 - Log Widths'!$E45-'Table 8 - Log Widths'!$F45-'Table 8 - Log Widths'!$D45)</f>
        <v>1.0000000000000004</v>
      </c>
    </row>
    <row r="46" spans="1:18" ht="15.75" customHeight="1" x14ac:dyDescent="0.15">
      <c r="A46" s="10" t="str">
        <f>'Table 8 - Log Widths'!A46</f>
        <v>gpt-5.6-terra (low)</v>
      </c>
      <c r="B46" s="10">
        <f>'Table 8 - Log Widths'!H46</f>
        <v>10.641683080278979</v>
      </c>
      <c r="C46" s="10">
        <f>EXP('Table 8 - Log Widths'!$G46-'Table 8 - Log Widths'!B46)</f>
        <v>3.8132697704333007</v>
      </c>
      <c r="D46" s="10">
        <f>EXP('Table 8 - Log Widths'!$G46-'Table 8 - Log Widths'!C46)</f>
        <v>3.8108729949647699</v>
      </c>
      <c r="E46" s="10">
        <f>EXP('Table 8 - Log Widths'!$G46-'Table 8 - Log Widths'!D46)</f>
        <v>9.8151445886068238</v>
      </c>
      <c r="F46" s="10">
        <f>EXP('Table 8 - Log Widths'!$G46-'Table 8 - Log Widths'!E46)</f>
        <v>8.6749605850369065</v>
      </c>
      <c r="G46" s="10">
        <f>EXP('Table 8 - Log Widths'!$G46-'Table 8 - Log Widths'!F46)</f>
        <v>10.364660151434739</v>
      </c>
      <c r="H46" s="10">
        <f t="shared" si="0"/>
        <v>2.7906976744186047</v>
      </c>
      <c r="I46" s="10">
        <f t="shared" si="1"/>
        <v>2.7924528301886786</v>
      </c>
      <c r="J46" s="10">
        <f t="shared" si="2"/>
        <v>1.0842105263157895</v>
      </c>
      <c r="K46" s="10">
        <f t="shared" si="3"/>
        <v>1.2267125569001884</v>
      </c>
      <c r="L46" s="10">
        <f t="shared" si="4"/>
        <v>1.0267276422764227</v>
      </c>
      <c r="M46" s="10"/>
      <c r="N46" s="8">
        <f t="array" ref="N46">IF(AND(A46&lt;&gt;"gpt-4o-mini",INDEX(Corpus!$Q$3:$Q$60,MATCH(A46,Corpus!$A$3:$A$60,0))&lt;&gt;"None"),1,0)</f>
        <v>1</v>
      </c>
      <c r="O46" s="4">
        <f>EXP('Table 8 - Log Widths'!$G46-'Table 8 - Log Widths'!$B46-'Table 8 - Log Widths'!$C46)</f>
        <v>1.3655628231957091</v>
      </c>
      <c r="P46" s="4">
        <f>EXP('Table 8 - Log Widths'!$G46-'Table 8 - Log Widths'!$B46-'Table 8 - Log Widths'!$C46-'Table 8 - Log Widths'!$E46)</f>
        <v>1.1131889174154901</v>
      </c>
      <c r="Q46" s="4">
        <f>EXP('Table 8 - Log Widths'!$G46-'Table 8 - Log Widths'!$B46-'Table 8 - Log Widths'!$C46-'Table 8 - Log Widths'!$E46-'Table 8 - Log Widths'!$F46)</f>
        <v>1.0842105263157897</v>
      </c>
      <c r="R46" s="4">
        <f>EXP('Table 8 - Log Widths'!$G46-'Table 8 - Log Widths'!$B46-'Table 8 - Log Widths'!$C46-'Table 8 - Log Widths'!$E46-'Table 8 - Log Widths'!$F46-'Table 8 - Log Widths'!$D46)</f>
        <v>1.0000000000000002</v>
      </c>
    </row>
    <row r="47" spans="1:18" ht="15.75" customHeight="1" x14ac:dyDescent="0.15">
      <c r="A47" s="10" t="str">
        <f>'Table 8 - Log Widths'!A47</f>
        <v>gpt-5.6-terra (medium)</v>
      </c>
      <c r="B47" s="10">
        <f>'Table 8 - Log Widths'!H47</f>
        <v>10.68009662286283</v>
      </c>
      <c r="C47" s="10">
        <f>EXP('Table 8 - Log Widths'!$G47-'Table 8 - Log Widths'!B47)</f>
        <v>3.8270346231925143</v>
      </c>
      <c r="D47" s="10">
        <f>EXP('Table 8 - Log Widths'!$G47-'Table 8 - Log Widths'!C47)</f>
        <v>3.824629196025203</v>
      </c>
      <c r="E47" s="10">
        <f>EXP('Table 8 - Log Widths'!$G47-'Table 8 - Log Widths'!D47)</f>
        <v>9.8505745550676576</v>
      </c>
      <c r="F47" s="10">
        <f>EXP('Table 8 - Log Widths'!$G47-'Table 8 - Log Widths'!E47)</f>
        <v>8.6910555406329681</v>
      </c>
      <c r="G47" s="10">
        <f>EXP('Table 8 - Log Widths'!$G47-'Table 8 - Log Widths'!F47)</f>
        <v>10.382810129447829</v>
      </c>
      <c r="H47" s="10">
        <f t="shared" si="0"/>
        <v>2.7906976744186047</v>
      </c>
      <c r="I47" s="10">
        <f t="shared" si="1"/>
        <v>2.7924528301886791</v>
      </c>
      <c r="J47" s="10">
        <f t="shared" si="2"/>
        <v>1.0842105263157897</v>
      </c>
      <c r="K47" s="10">
        <f t="shared" si="3"/>
        <v>1.2288607031597685</v>
      </c>
      <c r="L47" s="10">
        <f t="shared" si="4"/>
        <v>1.0286325657224371</v>
      </c>
      <c r="M47" s="10"/>
      <c r="N47" s="8">
        <f t="array" ref="N47">IF(AND(A47&lt;&gt;"gpt-4o-mini",INDEX(Corpus!$Q$3:$Q$60,MATCH(A47,Corpus!$A$3:$A$60,0))&lt;&gt;"None"),1,0)</f>
        <v>1</v>
      </c>
      <c r="O47" s="4">
        <f>EXP('Table 8 - Log Widths'!$G47-'Table 8 - Log Widths'!$B47-'Table 8 - Log Widths'!$C47)</f>
        <v>1.3704921285756977</v>
      </c>
      <c r="P47" s="4">
        <f>EXP('Table 8 - Log Widths'!$G47-'Table 8 - Log Widths'!$B47-'Table 8 - Log Widths'!$C47-'Table 8 - Log Widths'!$E47)</f>
        <v>1.1152542554674851</v>
      </c>
      <c r="Q47" s="4">
        <f>EXP('Table 8 - Log Widths'!$G47-'Table 8 - Log Widths'!$B47-'Table 8 - Log Widths'!$C47-'Table 8 - Log Widths'!$E47-'Table 8 - Log Widths'!$F47)</f>
        <v>1.0842105263157897</v>
      </c>
      <c r="R47" s="4">
        <f>EXP('Table 8 - Log Widths'!$G47-'Table 8 - Log Widths'!$B47-'Table 8 - Log Widths'!$C47-'Table 8 - Log Widths'!$E47-'Table 8 - Log Widths'!$F47-'Table 8 - Log Widths'!$D47)</f>
        <v>1.0000000000000002</v>
      </c>
    </row>
    <row r="48" spans="1:18" ht="15.75" customHeight="1" x14ac:dyDescent="0.15">
      <c r="A48" s="10" t="str">
        <f>'Table 8 - Log Widths'!A48</f>
        <v>gpt-5.6-terra (high)</v>
      </c>
      <c r="B48" s="10">
        <f>'Table 8 - Log Widths'!H48</f>
        <v>10.782932796914789</v>
      </c>
      <c r="C48" s="10">
        <f>EXP('Table 8 - Log Widths'!$G48-'Table 8 - Log Widths'!B48)</f>
        <v>3.8638842522277992</v>
      </c>
      <c r="D48" s="10">
        <f>EXP('Table 8 - Log Widths'!$G48-'Table 8 - Log Widths'!C48)</f>
        <v>3.8614556637600259</v>
      </c>
      <c r="E48" s="10">
        <f>EXP('Table 8 - Log Widths'!$G48-'Table 8 - Log Widths'!D48)</f>
        <v>9.9454234534650947</v>
      </c>
      <c r="F48" s="10">
        <f>EXP('Table 8 - Log Widths'!$G48-'Table 8 - Log Widths'!E48)</f>
        <v>8.6100953636357698</v>
      </c>
      <c r="G48" s="10">
        <f>EXP('Table 8 - Log Widths'!$G48-'Table 8 - Log Widths'!F48)</f>
        <v>10.581352747595609</v>
      </c>
      <c r="H48" s="10">
        <f t="shared" si="0"/>
        <v>2.7906976744186047</v>
      </c>
      <c r="I48" s="10">
        <f t="shared" si="1"/>
        <v>2.7924528301886791</v>
      </c>
      <c r="J48" s="10">
        <f t="shared" si="2"/>
        <v>1.0842105263157897</v>
      </c>
      <c r="K48" s="10">
        <f t="shared" si="3"/>
        <v>1.2523592761185747</v>
      </c>
      <c r="L48" s="10">
        <f t="shared" si="4"/>
        <v>1.0190504989416391</v>
      </c>
      <c r="M48" s="10"/>
      <c r="N48" s="8">
        <f t="array" ref="N48">IF(AND(A48&lt;&gt;"gpt-4o-mini",INDEX(Corpus!$Q$3:$Q$60,MATCH(A48,Corpus!$A$3:$A$60,0))&lt;&gt;"None"),1,0)</f>
        <v>1</v>
      </c>
      <c r="O48" s="4">
        <f>EXP('Table 8 - Log Widths'!$G48-'Table 8 - Log Widths'!$B48-'Table 8 - Log Widths'!$C48)</f>
        <v>1.3836882795140091</v>
      </c>
      <c r="P48" s="4">
        <f>EXP('Table 8 - Log Widths'!$G48-'Table 8 - Log Widths'!$B48-'Table 8 - Log Widths'!$C48-'Table 8 - Log Widths'!$E48)</f>
        <v>1.1048652777998831</v>
      </c>
      <c r="Q48" s="4">
        <f>EXP('Table 8 - Log Widths'!$G48-'Table 8 - Log Widths'!$B48-'Table 8 - Log Widths'!$C48-'Table 8 - Log Widths'!$E48-'Table 8 - Log Widths'!$F48)</f>
        <v>1.0842105263157904</v>
      </c>
      <c r="R48" s="4">
        <f>EXP('Table 8 - Log Widths'!$G48-'Table 8 - Log Widths'!$B48-'Table 8 - Log Widths'!$C48-'Table 8 - Log Widths'!$E48-'Table 8 - Log Widths'!$F48-'Table 8 - Log Widths'!$D48)</f>
        <v>1.0000000000000007</v>
      </c>
    </row>
    <row r="49" spans="1:18" ht="15.75" customHeight="1" x14ac:dyDescent="0.15">
      <c r="A49" s="10" t="str">
        <f>'Table 8 - Log Widths'!A49</f>
        <v>gpt-5.6-terra (xhigh)</v>
      </c>
      <c r="B49" s="10">
        <f>'Table 8 - Log Widths'!H49</f>
        <v>11.010989226559284</v>
      </c>
      <c r="C49" s="10">
        <f>EXP('Table 8 - Log Widths'!$G49-'Table 8 - Log Widths'!B49)</f>
        <v>3.9456044728504094</v>
      </c>
      <c r="D49" s="10">
        <f>EXP('Table 8 - Log Widths'!$G49-'Table 8 - Log Widths'!C49)</f>
        <v>3.9431245203219056</v>
      </c>
      <c r="E49" s="10">
        <f>EXP('Table 8 - Log Widths'!$G49-'Table 8 - Log Widths'!D49)</f>
        <v>10.155766762360502</v>
      </c>
      <c r="F49" s="10">
        <f>EXP('Table 8 - Log Widths'!$G49-'Table 8 - Log Widths'!E49)</f>
        <v>8.8678640655011876</v>
      </c>
      <c r="G49" s="10">
        <f>EXP('Table 8 - Log Widths'!$G49-'Table 8 - Log Widths'!F49)</f>
        <v>10.491064718158841</v>
      </c>
      <c r="H49" s="10">
        <f t="shared" si="0"/>
        <v>2.7906976744186052</v>
      </c>
      <c r="I49" s="10">
        <f t="shared" si="1"/>
        <v>2.7924528301886791</v>
      </c>
      <c r="J49" s="10">
        <f t="shared" si="2"/>
        <v>1.0842105263157897</v>
      </c>
      <c r="K49" s="10">
        <f t="shared" si="3"/>
        <v>1.2416732084781876</v>
      </c>
      <c r="L49" s="10">
        <f t="shared" si="4"/>
        <v>1.0495587933511183</v>
      </c>
      <c r="M49" s="10"/>
      <c r="N49" s="8">
        <f t="array" ref="N49">IF(AND(A49&lt;&gt;"gpt-4o-mini",INDEX(Corpus!$Q$3:$Q$60,MATCH(A49,Corpus!$A$3:$A$60,0))&lt;&gt;"None"),1,0)</f>
        <v>1</v>
      </c>
      <c r="O49" s="4">
        <f>EXP('Table 8 - Log Widths'!$G49-'Table 8 - Log Widths'!$B49-'Table 8 - Log Widths'!$C49)</f>
        <v>1.4129529531153495</v>
      </c>
      <c r="P49" s="4">
        <f>EXP('Table 8 - Log Widths'!$G49-'Table 8 - Log Widths'!$B49-'Table 8 - Log Widths'!$C49-'Table 8 - Log Widths'!$E49)</f>
        <v>1.1379426917385813</v>
      </c>
      <c r="Q49" s="4">
        <f>EXP('Table 8 - Log Widths'!$G49-'Table 8 - Log Widths'!$B49-'Table 8 - Log Widths'!$C49-'Table 8 - Log Widths'!$E49-'Table 8 - Log Widths'!$F49)</f>
        <v>1.0842105263157897</v>
      </c>
      <c r="R49" s="4">
        <f>EXP('Table 8 - Log Widths'!$G49-'Table 8 - Log Widths'!$B49-'Table 8 - Log Widths'!$C49-'Table 8 - Log Widths'!$E49-'Table 8 - Log Widths'!$F49-'Table 8 - Log Widths'!$D49)</f>
        <v>1.0000000000000002</v>
      </c>
    </row>
    <row r="50" spans="1:18" ht="15.75" customHeight="1" x14ac:dyDescent="0.15">
      <c r="A50" s="10"/>
      <c r="B50" s="10"/>
      <c r="C50" s="10"/>
      <c r="D50" s="10"/>
      <c r="E50" s="10"/>
      <c r="F50" s="10"/>
      <c r="G50" s="10"/>
      <c r="H50" s="10"/>
      <c r="I50" s="10"/>
      <c r="J50" s="10"/>
      <c r="K50" s="10"/>
      <c r="L50" s="10"/>
      <c r="M50" s="10"/>
    </row>
    <row r="51" spans="1:18" ht="15.75" customHeight="1" x14ac:dyDescent="0.15">
      <c r="A51" s="10" t="s">
        <v>265</v>
      </c>
      <c r="B51" s="10">
        <f t="array" ref="B51">MEDIAN(IF($N$3:$N$49=1,B3:B49))</f>
        <v>11.084300510230866</v>
      </c>
      <c r="C51" s="10">
        <f t="array" ref="C51">MEDIAN(IF($N$3:$N$49=1,C3:C49))</f>
        <v>3.9718743494993936</v>
      </c>
      <c r="D51" s="10">
        <f t="array" ref="D51">MEDIAN(IF($N$3:$N$49=1,D3:D49))</f>
        <v>3.9693778854205131</v>
      </c>
      <c r="E51" s="10">
        <f t="array" ref="E51">MEDIAN(IF($N$3:$N$49=1,E3:E49))</f>
        <v>10.223383965746914</v>
      </c>
      <c r="F51" s="10">
        <f t="array" ref="F51">MEDIAN(IF($N$3:$N$49=1,F3:F49))</f>
        <v>8.9148354850599976</v>
      </c>
      <c r="G51" s="10">
        <f t="array" ref="G51">MEDIAN(IF($N$3:$N$49=1,G3:G49))</f>
        <v>10.57675779949739</v>
      </c>
      <c r="H51" s="10">
        <f t="array" ref="H51">MEDIAN(IF($N$3:$N$49=1,H3:H49))</f>
        <v>2.7906976744186052</v>
      </c>
      <c r="I51" s="10">
        <f t="array" ref="I51">MEDIAN(IF($N$3:$N$49=1,I3:I49))</f>
        <v>2.7924528301886791</v>
      </c>
      <c r="J51" s="10">
        <f t="array" ref="J51">MEDIAN(IF($N$3:$N$49=1,J3:J49))</f>
        <v>1.0842105263157897</v>
      </c>
      <c r="K51" s="10">
        <f t="array" ref="K51">MEDIAN(IF($N$3:$N$49=1,K3:K49))</f>
        <v>1.2518154396156858</v>
      </c>
      <c r="L51" s="10">
        <f t="array" ref="L51">MEDIAN(IF($N$3:$N$49=1,L3:L49))</f>
        <v>1.0551181102362208</v>
      </c>
      <c r="M51" s="10"/>
    </row>
    <row r="52" spans="1:18" ht="15.75" customHeight="1" x14ac:dyDescent="0.15">
      <c r="A52" s="10" t="s">
        <v>266</v>
      </c>
      <c r="B52" s="10">
        <f t="array" ref="B52">MEDIAN(IF($N$3:$N$49=1,$O$3:$O$49))</f>
        <v>1.4223604089423505</v>
      </c>
      <c r="C52" s="10">
        <f t="array" ref="C52">MIN(IF($N$3:$N$49=1,$O$3:$O$49))</f>
        <v>1.3655628231957091</v>
      </c>
      <c r="D52" s="10">
        <f t="array" ref="D52">MAX(IF($N$3:$N$49=1,$O$3:$O$49))</f>
        <v>2.4252480570510633</v>
      </c>
      <c r="E52" s="10"/>
      <c r="F52" s="10"/>
      <c r="G52" s="10"/>
      <c r="H52" s="10"/>
      <c r="I52" s="10"/>
      <c r="J52" s="10"/>
      <c r="K52" s="10"/>
      <c r="L52" s="10"/>
      <c r="M52" s="10"/>
    </row>
    <row r="53" spans="1:18" ht="15.75" customHeight="1" x14ac:dyDescent="0.15">
      <c r="A53" s="10" t="s">
        <v>267</v>
      </c>
      <c r="B53" s="10">
        <f t="array" ref="B53">MIN(IF($N$3:$N$49=1,$B$3:$B$49))</f>
        <v>10.641683080278979</v>
      </c>
      <c r="C53" s="10">
        <f t="array" ref="C53">MEDIAN(IF($N$3:$N$49=1,$B$3:$B$49))</f>
        <v>11.084300510230866</v>
      </c>
      <c r="D53" s="10">
        <f t="array" ref="D53">AVERAGE(IF($N$3:$N$49=1,$B$3:$B$49))</f>
        <v>11.479747075157663</v>
      </c>
      <c r="E53" s="10">
        <f t="array" ref="E53">MAX(IF($N$3:$N$49=1,$B$3:$B$49))</f>
        <v>18.899695258107453</v>
      </c>
      <c r="F53" s="10"/>
      <c r="G53" s="10"/>
      <c r="H53" s="10"/>
      <c r="I53" s="10"/>
      <c r="J53" s="10"/>
      <c r="K53" s="10"/>
      <c r="L53" s="10"/>
      <c r="M53" s="10"/>
    </row>
    <row r="54" spans="1:18" ht="15.75" customHeight="1" x14ac:dyDescent="0.15">
      <c r="A54" s="10" t="s">
        <v>268</v>
      </c>
      <c r="B54" s="10">
        <f t="array" ref="B54">MEDIAN(IF($N$3:$N$49=1,$P$3:$P$49))</f>
        <v>1.1439701616245348</v>
      </c>
      <c r="C54" s="10">
        <f t="array" ref="C54">MEDIAN(IF($N$3:$N$49=1,$Q$3:$Q$49))</f>
        <v>1.08421052631579</v>
      </c>
      <c r="D54" s="10">
        <f t="array" ref="D54">MEDIAN(IF($N$3:$N$49=1,$R$3:$R$49))</f>
        <v>1.0000000000000004</v>
      </c>
      <c r="E54" s="10">
        <f>$B$51/B54</f>
        <v>9.6893265944019191</v>
      </c>
      <c r="F54" s="10">
        <f>$B$51/C54</f>
        <v>10.22338396574691</v>
      </c>
      <c r="G54" s="10">
        <f>$B$51/D54</f>
        <v>11.084300510230861</v>
      </c>
      <c r="H54" s="10">
        <f>$B$51/$B$52</f>
        <v>7.7928916191311979</v>
      </c>
      <c r="I54" s="10"/>
      <c r="J54" s="10"/>
      <c r="K54" s="10"/>
      <c r="L54" s="10"/>
      <c r="M54" s="10"/>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23"/>
  <sheetViews>
    <sheetView zoomScaleNormal="100" workbookViewId="0">
      <selection sqref="A1:U1"/>
    </sheetView>
  </sheetViews>
  <sheetFormatPr baseColWidth="10" defaultColWidth="14.5" defaultRowHeight="15" customHeight="1" x14ac:dyDescent="0.15"/>
  <cols>
    <col min="1" max="21" width="26" customWidth="1"/>
  </cols>
  <sheetData>
    <row r="1" spans="1:21" ht="45.75" customHeight="1" x14ac:dyDescent="0.15">
      <c r="A1" s="17" t="s">
        <v>346</v>
      </c>
      <c r="B1" s="16"/>
      <c r="C1" s="16"/>
      <c r="D1" s="16"/>
      <c r="E1" s="16"/>
      <c r="F1" s="16"/>
      <c r="G1" s="16"/>
      <c r="H1" s="16"/>
      <c r="I1" s="16"/>
      <c r="J1" s="16"/>
      <c r="K1" s="16"/>
      <c r="L1" s="16"/>
      <c r="M1" s="16"/>
      <c r="N1" s="16"/>
      <c r="O1" s="16"/>
      <c r="P1" s="16"/>
      <c r="Q1" s="16"/>
      <c r="R1" s="16"/>
      <c r="S1" s="16"/>
      <c r="T1" s="16"/>
      <c r="U1" s="16"/>
    </row>
    <row r="2" spans="1:21" ht="69.75" customHeight="1" x14ac:dyDescent="0.15">
      <c r="A2" s="12" t="s">
        <v>269</v>
      </c>
      <c r="B2" s="12" t="s">
        <v>270</v>
      </c>
      <c r="C2" s="12" t="s">
        <v>271</v>
      </c>
      <c r="D2" s="12" t="s">
        <v>272</v>
      </c>
      <c r="E2" s="12" t="s">
        <v>273</v>
      </c>
      <c r="F2" s="12" t="s">
        <v>274</v>
      </c>
      <c r="G2" s="12" t="s">
        <v>275</v>
      </c>
      <c r="H2" s="12" t="s">
        <v>276</v>
      </c>
      <c r="I2" s="12" t="s">
        <v>277</v>
      </c>
      <c r="J2" s="12" t="s">
        <v>278</v>
      </c>
      <c r="K2" s="12" t="s">
        <v>279</v>
      </c>
      <c r="L2" s="12" t="s">
        <v>280</v>
      </c>
      <c r="M2" s="12" t="s">
        <v>281</v>
      </c>
      <c r="N2" s="12" t="s">
        <v>282</v>
      </c>
      <c r="O2" s="12" t="s">
        <v>283</v>
      </c>
      <c r="P2" s="12" t="s">
        <v>284</v>
      </c>
      <c r="Q2" s="12" t="s">
        <v>285</v>
      </c>
      <c r="R2" s="12" t="s">
        <v>286</v>
      </c>
      <c r="S2" s="12" t="s">
        <v>287</v>
      </c>
      <c r="T2" s="12" t="s">
        <v>288</v>
      </c>
      <c r="U2" s="12" t="s">
        <v>289</v>
      </c>
    </row>
    <row r="3" spans="1:21" ht="15" customHeight="1" x14ac:dyDescent="0.15">
      <c r="A3" t="s">
        <v>290</v>
      </c>
      <c r="B3" t="s">
        <v>154</v>
      </c>
      <c r="C3" t="s">
        <v>149</v>
      </c>
      <c r="D3" s="4">
        <f t="array" ref="D3">INDEX('Table 6'!$C$3:$C$51,MATCH($B3,'Table 6'!$A$3:$A$51,0))</f>
        <v>52.91</v>
      </c>
      <c r="E3" s="4">
        <f t="array" ref="E3">INDEX('Table 6'!$C$3:$C$51,MATCH($C3,'Table 6'!$A$3:$A$51,0))</f>
        <v>129.9</v>
      </c>
      <c r="F3" s="4">
        <f t="array" ref="F3">INDEX('Table 6'!$K$3:$K$51,MATCH($B3,'Table 6'!$A$3:$A$51,0))</f>
        <v>1.44</v>
      </c>
      <c r="G3" s="4">
        <f t="array" ref="G3">INDEX('Table 6'!$K$3:$K$51,MATCH($C3,'Table 6'!$A$3:$A$51,0))</f>
        <v>1.6</v>
      </c>
      <c r="H3" s="2">
        <f t="shared" ref="H3:H13" si="0">(F3/G3)*(E3/D3)</f>
        <v>2.2096012096012099</v>
      </c>
      <c r="I3" s="2">
        <f t="array" ref="I3">INDEX('Table 7'!$E$3:$E$49,MATCH($B3,'Table 7'!$A$3:$A$49,0))/INDEX('Table 7'!$E$3:$E$49,MATCH($C3,'Table 7'!$A$3:$A$49,0))</f>
        <v>2.2096012096012099</v>
      </c>
      <c r="J3" s="2">
        <v>2.2069999999999999</v>
      </c>
      <c r="K3" s="7">
        <f t="shared" ref="K3:K13" si="1">J3/H3-1</f>
        <v>-1.1772303481312196E-3</v>
      </c>
      <c r="L3" s="2">
        <v>2.052</v>
      </c>
      <c r="M3" s="2">
        <v>2.3719999999999999</v>
      </c>
      <c r="N3" s="2">
        <f t="shared" ref="N3:N13" si="2">L3/J3</f>
        <v>0.92976891708201181</v>
      </c>
      <c r="O3" s="2">
        <f t="shared" ref="O3:O13" si="3">M3/J3</f>
        <v>1.0747621205256004</v>
      </c>
      <c r="P3" s="4">
        <f t="array" ref="P3">INDEX('Table 8'!$B$3:$B$49,MATCH($B3,'Table 8'!$A$3:$A$49,0))</f>
        <v>0.8621680429431493</v>
      </c>
      <c r="Q3" s="4">
        <f t="array" ref="Q3">INDEX('Table 8'!$D$3:$D$49,MATCH($B3,'Table 8'!$A$3:$A$49,0))</f>
        <v>9.2838123390095717</v>
      </c>
      <c r="R3" s="4">
        <f t="array" ref="R3">INDEX('Table 8'!$B$3:$B$49,MATCH($C3,'Table 8'!$A$3:$A$49,0))</f>
        <v>0.3868383363720983</v>
      </c>
      <c r="S3" s="4">
        <f t="array" ref="S3">INDEX('Table 8'!$D$3:$D$49,MATCH($C3,'Table 8'!$A$3:$A$49,0))</f>
        <v>4.2797141753028525</v>
      </c>
      <c r="T3" s="4">
        <f t="shared" ref="T3:T13" si="4">P3/S3</f>
        <v>0.20145458496235635</v>
      </c>
      <c r="U3" s="4">
        <f t="shared" ref="U3:U13" si="5">Q3/R3</f>
        <v>23.999204489597197</v>
      </c>
    </row>
    <row r="4" spans="1:21" ht="15" customHeight="1" x14ac:dyDescent="0.15">
      <c r="A4" t="s">
        <v>290</v>
      </c>
      <c r="B4" t="s">
        <v>156</v>
      </c>
      <c r="C4" t="s">
        <v>151</v>
      </c>
      <c r="D4" s="4">
        <f t="array" ref="D4">INDEX('Table 6'!$C$3:$C$51,MATCH($B4,'Table 6'!$A$3:$A$51,0))</f>
        <v>53.64</v>
      </c>
      <c r="E4" s="4">
        <f t="array" ref="E4">INDEX('Table 6'!$C$3:$C$51,MATCH($C4,'Table 6'!$A$3:$A$51,0))</f>
        <v>134.91</v>
      </c>
      <c r="F4" s="4">
        <f t="array" ref="F4">INDEX('Table 6'!$K$3:$K$51,MATCH($B4,'Table 6'!$A$3:$A$51,0))</f>
        <v>1.47</v>
      </c>
      <c r="G4" s="4">
        <f t="array" ref="G4">INDEX('Table 6'!$K$3:$K$51,MATCH($C4,'Table 6'!$A$3:$A$51,0))</f>
        <v>1.58</v>
      </c>
      <c r="H4" s="2">
        <f t="shared" si="0"/>
        <v>2.33999872568176</v>
      </c>
      <c r="I4" s="2">
        <f t="array" ref="I4">INDEX('Table 7'!$E$3:$E$49,MATCH($B4,'Table 7'!$A$3:$A$49,0))/INDEX('Table 7'!$E$3:$E$49,MATCH($C4,'Table 7'!$A$3:$A$49,0))</f>
        <v>2.33999872568176</v>
      </c>
      <c r="J4" s="2">
        <v>2.34</v>
      </c>
      <c r="K4" s="7">
        <f t="shared" si="1"/>
        <v>5.4458074094654307E-7</v>
      </c>
      <c r="L4" s="2">
        <v>2.153</v>
      </c>
      <c r="M4" s="2">
        <v>2.5209999999999999</v>
      </c>
      <c r="N4" s="2">
        <f t="shared" si="2"/>
        <v>0.92008547008547015</v>
      </c>
      <c r="O4" s="2">
        <f t="shared" si="3"/>
        <v>1.0773504273504273</v>
      </c>
      <c r="P4" s="4">
        <f t="array" ref="P4">INDEX('Table 8'!$B$3:$B$49,MATCH($B4,'Table 8'!$A$3:$A$49,0))</f>
        <v>0.8510091745007381</v>
      </c>
      <c r="Q4" s="4">
        <f t="array" ref="Q4">INDEX('Table 8'!$D$3:$D$49,MATCH($B4,'Table 8'!$A$3:$A$49,0))</f>
        <v>9.3073849217492945</v>
      </c>
      <c r="R4" s="4">
        <f t="array" ref="R4">INDEX('Table 8'!$B$3:$B$49,MATCH($C4,'Table 8'!$A$3:$A$49,0))</f>
        <v>0.36772542824937199</v>
      </c>
      <c r="S4" s="4">
        <f t="array" ref="S4">INDEX('Table 8'!$D$3:$D$49,MATCH($C4,'Table 8'!$A$3:$A$49,0))</f>
        <v>4.0153222866110116</v>
      </c>
      <c r="T4" s="4">
        <f t="shared" si="4"/>
        <v>0.21194044058142136</v>
      </c>
      <c r="U4" s="4">
        <f t="shared" si="5"/>
        <v>25.310691637668082</v>
      </c>
    </row>
    <row r="5" spans="1:21" ht="15" customHeight="1" x14ac:dyDescent="0.15">
      <c r="A5" t="s">
        <v>290</v>
      </c>
      <c r="B5" t="s">
        <v>158</v>
      </c>
      <c r="C5" t="s">
        <v>153</v>
      </c>
      <c r="D5" s="4">
        <f t="array" ref="D5">INDEX('Table 6'!$C$3:$C$51,MATCH($B5,'Table 6'!$A$3:$A$51,0))</f>
        <v>55.21</v>
      </c>
      <c r="E5" s="4">
        <f t="array" ref="E5">INDEX('Table 6'!$C$3:$C$51,MATCH($C5,'Table 6'!$A$3:$A$51,0))</f>
        <v>130.19999999999999</v>
      </c>
      <c r="F5" s="4">
        <f t="array" ref="F5">INDEX('Table 6'!$K$3:$K$51,MATCH($B5,'Table 6'!$A$3:$A$51,0))</f>
        <v>1.91</v>
      </c>
      <c r="G5" s="4">
        <f t="array" ref="G5">INDEX('Table 6'!$K$3:$K$51,MATCH($C5,'Table 6'!$A$3:$A$51,0))</f>
        <v>2.58</v>
      </c>
      <c r="H5" s="2">
        <f t="shared" si="0"/>
        <v>1.7458498839526035</v>
      </c>
      <c r="I5" s="2">
        <f t="array" ref="I5">INDEX('Table 7'!$E$3:$E$49,MATCH($B5,'Table 7'!$A$3:$A$49,0))/INDEX('Table 7'!$E$3:$E$49,MATCH($C5,'Table 7'!$A$3:$A$49,0))</f>
        <v>1.7458498839526035</v>
      </c>
      <c r="J5" s="2">
        <v>1.7490000000000001</v>
      </c>
      <c r="K5" s="7">
        <f t="shared" si="1"/>
        <v>1.8043453084664041E-3</v>
      </c>
      <c r="L5" s="2">
        <v>1.5449999999999999</v>
      </c>
      <c r="M5" s="2">
        <v>1.867</v>
      </c>
      <c r="N5" s="2">
        <f t="shared" si="2"/>
        <v>0.88336192109777001</v>
      </c>
      <c r="O5" s="2">
        <f t="shared" si="3"/>
        <v>1.0674671240708975</v>
      </c>
      <c r="P5" s="4">
        <f t="array" ref="P5">INDEX('Table 8'!$B$3:$B$49,MATCH($B5,'Table 8'!$A$3:$A$49,0))</f>
        <v>1.04478747588195</v>
      </c>
      <c r="Q5" s="4">
        <f t="array" ref="Q5">INDEX('Table 8'!$D$3:$D$49,MATCH($B5,'Table 8'!$A$3:$A$49,0))</f>
        <v>12.226245068785136</v>
      </c>
      <c r="R5" s="4">
        <f t="array" ref="R5">INDEX('Table 8'!$B$3:$B$49,MATCH($C5,'Table 8'!$A$3:$A$49,0))</f>
        <v>0.62267381988268389</v>
      </c>
      <c r="S5" s="4">
        <f t="array" ref="S5">INDEX('Table 8'!$D$3:$D$49,MATCH($C5,'Table 8'!$A$3:$A$49,0))</f>
        <v>7.068013982070898</v>
      </c>
      <c r="T5" s="4">
        <f t="shared" si="4"/>
        <v>0.14781910145229107</v>
      </c>
      <c r="U5" s="4">
        <f t="shared" si="5"/>
        <v>19.635071651299949</v>
      </c>
    </row>
    <row r="6" spans="1:21" ht="15" customHeight="1" x14ac:dyDescent="0.15">
      <c r="A6" t="s">
        <v>291</v>
      </c>
      <c r="B6" t="s">
        <v>158</v>
      </c>
      <c r="C6" t="s">
        <v>154</v>
      </c>
      <c r="D6" s="4">
        <f t="array" ref="D6">INDEX('Table 6'!$C$3:$C$51,MATCH($B6,'Table 6'!$A$3:$A$51,0))</f>
        <v>55.21</v>
      </c>
      <c r="E6" s="4">
        <f t="array" ref="E6">INDEX('Table 6'!$C$3:$C$51,MATCH($C6,'Table 6'!$A$3:$A$51,0))</f>
        <v>52.91</v>
      </c>
      <c r="F6" s="4">
        <f t="array" ref="F6">INDEX('Table 6'!$K$3:$K$51,MATCH($B6,'Table 6'!$A$3:$A$51,0))</f>
        <v>1.91</v>
      </c>
      <c r="G6" s="4">
        <f t="array" ref="G6">INDEX('Table 6'!$K$3:$K$51,MATCH($C6,'Table 6'!$A$3:$A$51,0))</f>
        <v>1.44</v>
      </c>
      <c r="H6" s="2">
        <f t="shared" si="0"/>
        <v>1.2711326953651712</v>
      </c>
      <c r="I6" s="2">
        <f t="array" ref="I6">INDEX('Table 7'!$E$3:$E$49,MATCH($B6,'Table 7'!$A$3:$A$49,0))/INDEX('Table 7'!$E$3:$E$49,MATCH($C6,'Table 7'!$A$3:$A$49,0))</f>
        <v>1.2711326953651712</v>
      </c>
      <c r="J6" s="2">
        <v>1.276</v>
      </c>
      <c r="K6" s="7">
        <f t="shared" si="1"/>
        <v>3.8291082060717407E-3</v>
      </c>
      <c r="L6" s="2">
        <v>1.1539999999999999</v>
      </c>
      <c r="M6" s="2">
        <v>1.369</v>
      </c>
      <c r="N6" s="2">
        <f t="shared" si="2"/>
        <v>0.90438871473354221</v>
      </c>
      <c r="O6" s="2">
        <f t="shared" si="3"/>
        <v>1.072884012539185</v>
      </c>
      <c r="P6" s="4">
        <f t="array" ref="P6">INDEX('Table 8'!$B$3:$B$49,MATCH($B6,'Table 8'!$A$3:$A$49,0))</f>
        <v>1.04478747588195</v>
      </c>
      <c r="Q6" s="4">
        <f t="array" ref="Q6">INDEX('Table 8'!$D$3:$D$49,MATCH($B6,'Table 8'!$A$3:$A$49,0))</f>
        <v>12.226245068785136</v>
      </c>
      <c r="R6" s="4">
        <f t="array" ref="R6">INDEX('Table 8'!$B$3:$B$49,MATCH($C6,'Table 8'!$A$3:$A$49,0))</f>
        <v>0.8621680429431493</v>
      </c>
      <c r="S6" s="4">
        <f t="array" ref="S6">INDEX('Table 8'!$D$3:$D$49,MATCH($C6,'Table 8'!$A$3:$A$49,0))</f>
        <v>9.2838123390095717</v>
      </c>
      <c r="T6" s="4">
        <f t="shared" si="4"/>
        <v>0.11253862505297166</v>
      </c>
      <c r="U6" s="4">
        <f t="shared" si="5"/>
        <v>14.180814481419286</v>
      </c>
    </row>
    <row r="7" spans="1:21" ht="15" customHeight="1" x14ac:dyDescent="0.15">
      <c r="A7" t="s">
        <v>291</v>
      </c>
      <c r="B7" t="s">
        <v>153</v>
      </c>
      <c r="C7" t="s">
        <v>149</v>
      </c>
      <c r="D7" s="4">
        <f t="array" ref="D7">INDEX('Table 6'!$C$3:$C$51,MATCH($B7,'Table 6'!$A$3:$A$51,0))</f>
        <v>130.19999999999999</v>
      </c>
      <c r="E7" s="4">
        <f t="array" ref="E7">INDEX('Table 6'!$C$3:$C$51,MATCH($C7,'Table 6'!$A$3:$A$51,0))</f>
        <v>129.9</v>
      </c>
      <c r="F7" s="4">
        <f t="array" ref="F7">INDEX('Table 6'!$K$3:$K$51,MATCH($B7,'Table 6'!$A$3:$A$51,0))</f>
        <v>2.58</v>
      </c>
      <c r="G7" s="4">
        <f t="array" ref="G7">INDEX('Table 6'!$K$3:$K$51,MATCH($C7,'Table 6'!$A$3:$A$51,0))</f>
        <v>1.6</v>
      </c>
      <c r="H7" s="2">
        <f t="shared" si="0"/>
        <v>1.6087845622119819</v>
      </c>
      <c r="I7" s="2">
        <f t="array" ref="I7">INDEX('Table 7'!$E$3:$E$49,MATCH($B7,'Table 7'!$A$3:$A$49,0))/INDEX('Table 7'!$E$3:$E$49,MATCH($C7,'Table 7'!$A$3:$A$49,0))</f>
        <v>1.6087845622119816</v>
      </c>
      <c r="J7" s="2">
        <v>1.611</v>
      </c>
      <c r="K7" s="7">
        <f t="shared" si="1"/>
        <v>1.3770879209407116E-3</v>
      </c>
      <c r="L7" s="2">
        <v>1.5009999999999999</v>
      </c>
      <c r="M7" s="2">
        <v>1.776</v>
      </c>
      <c r="N7" s="2">
        <f t="shared" si="2"/>
        <v>0.9317194289261328</v>
      </c>
      <c r="O7" s="2">
        <f t="shared" si="3"/>
        <v>1.1024208566108007</v>
      </c>
      <c r="P7" s="4">
        <f t="array" ref="P7">INDEX('Table 8'!$B$3:$B$49,MATCH($B7,'Table 8'!$A$3:$A$49,0))</f>
        <v>0.62267381988268389</v>
      </c>
      <c r="Q7" s="4">
        <f t="array" ref="Q7">INDEX('Table 8'!$D$3:$D$49,MATCH($B7,'Table 8'!$A$3:$A$49,0))</f>
        <v>7.068013982070898</v>
      </c>
      <c r="R7" s="4">
        <f t="array" ref="R7">INDEX('Table 8'!$B$3:$B$49,MATCH($C7,'Table 8'!$A$3:$A$49,0))</f>
        <v>0.3868383363720983</v>
      </c>
      <c r="S7" s="4">
        <f t="array" ref="S7">INDEX('Table 8'!$D$3:$D$49,MATCH($C7,'Table 8'!$A$3:$A$49,0))</f>
        <v>4.2797141753028525</v>
      </c>
      <c r="T7" s="4">
        <f t="shared" si="4"/>
        <v>0.14549425367609289</v>
      </c>
      <c r="U7" s="4">
        <f t="shared" si="5"/>
        <v>18.27123456366073</v>
      </c>
    </row>
    <row r="8" spans="1:21" ht="15" customHeight="1" x14ac:dyDescent="0.15">
      <c r="A8" t="s">
        <v>291</v>
      </c>
      <c r="B8" t="s">
        <v>165</v>
      </c>
      <c r="C8" t="s">
        <v>161</v>
      </c>
      <c r="D8" s="4">
        <f t="array" ref="D8">INDEX('Table 6'!$C$3:$C$51,MATCH($B8,'Table 6'!$A$3:$A$51,0))</f>
        <v>95.22</v>
      </c>
      <c r="E8" s="4">
        <f t="array" ref="E8">INDEX('Table 6'!$C$3:$C$51,MATCH($C8,'Table 6'!$A$3:$A$51,0))</f>
        <v>96.85</v>
      </c>
      <c r="F8" s="4">
        <f t="array" ref="F8">INDEX('Table 6'!$K$3:$K$51,MATCH($B8,'Table 6'!$A$3:$A$51,0))</f>
        <v>1.68</v>
      </c>
      <c r="G8" s="4">
        <f t="array" ref="G8">INDEX('Table 6'!$K$3:$K$51,MATCH($C8,'Table 6'!$A$3:$A$51,0))</f>
        <v>1.38</v>
      </c>
      <c r="H8" s="2">
        <f t="shared" si="0"/>
        <v>1.2382309160479623</v>
      </c>
      <c r="I8" s="2">
        <f t="array" ref="I8">INDEX('Table 7'!$E$3:$E$49,MATCH($B8,'Table 7'!$A$3:$A$49,0))/INDEX('Table 7'!$E$3:$E$49,MATCH($C8,'Table 7'!$A$3:$A$49,0))</f>
        <v>1.2382309160479621</v>
      </c>
      <c r="J8" s="2">
        <v>1.2390000000000001</v>
      </c>
      <c r="K8" s="7">
        <f t="shared" si="1"/>
        <v>6.2111512648410638E-4</v>
      </c>
      <c r="L8" s="2">
        <v>1.151</v>
      </c>
      <c r="M8" s="2">
        <v>1.3129999999999999</v>
      </c>
      <c r="N8" s="2">
        <f t="shared" si="2"/>
        <v>0.92897497982243737</v>
      </c>
      <c r="O8" s="2">
        <f t="shared" si="3"/>
        <v>1.0597255851493139</v>
      </c>
      <c r="P8" s="4">
        <f t="array" ref="P8">INDEX('Table 8'!$B$3:$B$49,MATCH($B8,'Table 8'!$A$3:$A$49,0))</f>
        <v>0.55404587017564566</v>
      </c>
      <c r="Q8" s="4">
        <f t="array" ref="Q8">INDEX('Table 8'!$D$3:$D$49,MATCH($B8,'Table 8'!$A$3:$A$49,0))</f>
        <v>6.1005931075236957</v>
      </c>
      <c r="R8" s="4">
        <f t="array" ref="R8">INDEX('Table 8'!$B$3:$B$49,MATCH($C8,'Table 8'!$A$3:$A$49,0))</f>
        <v>0.45412226807525824</v>
      </c>
      <c r="S8" s="4">
        <f t="array" ref="S8">INDEX('Table 8'!$D$3:$D$49,MATCH($C8,'Table 8'!$A$3:$A$49,0))</f>
        <v>5.0169711755616122</v>
      </c>
      <c r="T8" s="4">
        <f t="shared" si="4"/>
        <v>0.11043433394125976</v>
      </c>
      <c r="U8" s="4">
        <f t="shared" si="5"/>
        <v>13.433811852874589</v>
      </c>
    </row>
    <row r="9" spans="1:21" ht="15" customHeight="1" x14ac:dyDescent="0.15">
      <c r="A9" t="s">
        <v>291</v>
      </c>
      <c r="B9" t="s">
        <v>148</v>
      </c>
      <c r="C9" t="s">
        <v>143</v>
      </c>
      <c r="D9" s="4">
        <f t="array" ref="D9">INDEX('Table 6'!$C$3:$C$51,MATCH($B9,'Table 6'!$A$3:$A$51,0))</f>
        <v>59.91</v>
      </c>
      <c r="E9" s="4">
        <f t="array" ref="E9">INDEX('Table 6'!$C$3:$C$51,MATCH($C9,'Table 6'!$A$3:$A$51,0))</f>
        <v>59.88</v>
      </c>
      <c r="F9" s="4">
        <f t="array" ref="F9">INDEX('Table 6'!$K$3:$K$51,MATCH($B9,'Table 6'!$A$3:$A$51,0))</f>
        <v>2.46</v>
      </c>
      <c r="G9" s="4">
        <f t="array" ref="G9">INDEX('Table 6'!$K$3:$K$51,MATCH($C9,'Table 6'!$A$3:$A$51,0))</f>
        <v>1.71</v>
      </c>
      <c r="H9" s="2">
        <f t="shared" si="0"/>
        <v>1.4378761124142356</v>
      </c>
      <c r="I9" s="2">
        <f t="array" ref="I9">INDEX('Table 7'!$E$3:$E$49,MATCH($B9,'Table 7'!$A$3:$A$49,0))/INDEX('Table 7'!$E$3:$E$49,MATCH($C9,'Table 7'!$A$3:$A$49,0))</f>
        <v>1.4378761124142352</v>
      </c>
      <c r="J9" s="2">
        <v>1.4390000000000001</v>
      </c>
      <c r="K9" s="7">
        <f t="shared" si="1"/>
        <v>7.8163033383837899E-4</v>
      </c>
      <c r="L9" s="2">
        <v>1.2769999999999999</v>
      </c>
      <c r="M9" s="2">
        <v>1.589</v>
      </c>
      <c r="N9" s="2">
        <f t="shared" si="2"/>
        <v>0.88742182070882547</v>
      </c>
      <c r="O9" s="2">
        <f t="shared" si="3"/>
        <v>1.1042390548992356</v>
      </c>
      <c r="P9" s="4">
        <f t="array" ref="P9">INDEX('Table 8'!$B$3:$B$49,MATCH($B9,'Table 8'!$A$3:$A$49,0))</f>
        <v>1.2806072179317831</v>
      </c>
      <c r="Q9" s="4">
        <f t="array" ref="Q9">INDEX('Table 8'!$D$3:$D$49,MATCH($B9,'Table 8'!$A$3:$A$49,0))</f>
        <v>15.276568047859261</v>
      </c>
      <c r="R9" s="4">
        <f t="array" ref="R9">INDEX('Table 8'!$B$3:$B$49,MATCH($C9,'Table 8'!$A$3:$A$49,0))</f>
        <v>0.87404397393148059</v>
      </c>
      <c r="S9" s="4">
        <f t="array" ref="S9">INDEX('Table 8'!$D$3:$D$49,MATCH($C9,'Table 8'!$A$3:$A$49,0))</f>
        <v>10.714861834743237</v>
      </c>
      <c r="T9" s="4">
        <f t="shared" si="4"/>
        <v>0.11951691376732257</v>
      </c>
      <c r="U9" s="4">
        <f t="shared" si="5"/>
        <v>17.478031430323487</v>
      </c>
    </row>
    <row r="10" spans="1:21" ht="15" customHeight="1" x14ac:dyDescent="0.15">
      <c r="A10" t="s">
        <v>291</v>
      </c>
      <c r="B10" t="s">
        <v>142</v>
      </c>
      <c r="C10" t="s">
        <v>137</v>
      </c>
      <c r="D10" s="4">
        <f t="array" ref="D10">INDEX('Table 6'!$C$3:$C$51,MATCH($B10,'Table 6'!$A$3:$A$51,0))</f>
        <v>95.16</v>
      </c>
      <c r="E10" s="4">
        <f t="array" ref="E10">INDEX('Table 6'!$C$3:$C$51,MATCH($C10,'Table 6'!$A$3:$A$51,0))</f>
        <v>85.94</v>
      </c>
      <c r="F10" s="4">
        <f t="array" ref="F10">INDEX('Table 6'!$K$3:$K$51,MATCH($B10,'Table 6'!$A$3:$A$51,0))</f>
        <v>3.89</v>
      </c>
      <c r="G10" s="4">
        <f t="array" ref="G10">INDEX('Table 6'!$K$3:$K$51,MATCH($C10,'Table 6'!$A$3:$A$51,0))</f>
        <v>1</v>
      </c>
      <c r="H10" s="2">
        <f t="shared" si="0"/>
        <v>3.5131000420344685</v>
      </c>
      <c r="I10" s="2">
        <f t="array" ref="I10">INDEX('Table 7'!$E$3:$E$49,MATCH($B10,'Table 7'!$A$3:$A$49,0))/INDEX('Table 7'!$E$3:$E$49,MATCH($C10,'Table 7'!$A$3:$A$49,0))</f>
        <v>3.5131000420344689</v>
      </c>
      <c r="J10" s="2">
        <v>3.5089999999999999</v>
      </c>
      <c r="K10" s="7">
        <f t="shared" si="1"/>
        <v>-1.1670723820589313E-3</v>
      </c>
      <c r="L10" s="2">
        <v>3.2160000000000002</v>
      </c>
      <c r="M10" s="2">
        <v>3.9550000000000001</v>
      </c>
      <c r="N10" s="2">
        <f t="shared" si="2"/>
        <v>0.91650042747221439</v>
      </c>
      <c r="O10" s="2">
        <f t="shared" si="3"/>
        <v>1.127101738387005</v>
      </c>
      <c r="P10" s="4">
        <f t="array" ref="P10">INDEX('Table 8'!$B$3:$B$49,MATCH($B10,'Table 8'!$A$3:$A$49,0))</f>
        <v>1.2627805278848327</v>
      </c>
      <c r="Q10" s="4">
        <f t="array" ref="Q10">INDEX('Table 8'!$D$3:$D$49,MATCH($B10,'Table 8'!$A$3:$A$49,0))</f>
        <v>15.32918008579218</v>
      </c>
      <c r="R10" s="4">
        <f t="array" ref="R10">INDEX('Table 8'!$B$3:$B$49,MATCH($C10,'Table 8'!$A$3:$A$49,0))</f>
        <v>0.37559640638179603</v>
      </c>
      <c r="S10" s="4">
        <f t="array" ref="S10">INDEX('Table 8'!$D$3:$D$49,MATCH($C10,'Table 8'!$A$3:$A$49,0))</f>
        <v>4.009372396182636</v>
      </c>
      <c r="T10" s="4">
        <f t="shared" si="4"/>
        <v>0.31495715615918812</v>
      </c>
      <c r="U10" s="4">
        <f t="shared" si="5"/>
        <v>40.812904024992122</v>
      </c>
    </row>
    <row r="11" spans="1:21" ht="15" customHeight="1" x14ac:dyDescent="0.15">
      <c r="A11" t="s">
        <v>290</v>
      </c>
      <c r="B11" t="s">
        <v>142</v>
      </c>
      <c r="C11" t="s">
        <v>130</v>
      </c>
      <c r="D11" s="4">
        <f t="array" ref="D11">INDEX('Table 6'!$C$3:$C$51,MATCH($B11,'Table 6'!$A$3:$A$51,0))</f>
        <v>95.16</v>
      </c>
      <c r="E11" s="4">
        <f t="array" ref="E11">INDEX('Table 6'!$C$3:$C$51,MATCH($C11,'Table 6'!$A$3:$A$51,0))</f>
        <v>154.37</v>
      </c>
      <c r="F11" s="4">
        <f t="array" ref="F11">INDEX('Table 6'!$K$3:$K$51,MATCH($B11,'Table 6'!$A$3:$A$51,0))</f>
        <v>3.89</v>
      </c>
      <c r="G11" s="4">
        <f t="array" ref="G11">INDEX('Table 6'!$K$3:$K$51,MATCH($C11,'Table 6'!$A$3:$A$51,0))</f>
        <v>3.7</v>
      </c>
      <c r="H11" s="2">
        <f t="shared" si="0"/>
        <v>1.7055181600263567</v>
      </c>
      <c r="I11" s="2">
        <f t="array" ref="I11">INDEX('Table 7'!$E$3:$E$49,MATCH($B11,'Table 7'!$A$3:$A$49,0))/INDEX('Table 7'!$E$3:$E$49,MATCH($C11,'Table 7'!$A$3:$A$49,0))</f>
        <v>1.7055181600263569</v>
      </c>
      <c r="J11" s="2">
        <v>1.706</v>
      </c>
      <c r="K11" s="7">
        <f t="shared" si="1"/>
        <v>2.8251823107861007E-4</v>
      </c>
      <c r="L11" s="2">
        <v>1.54</v>
      </c>
      <c r="M11" s="2">
        <v>1.9470000000000001</v>
      </c>
      <c r="N11" s="2">
        <f t="shared" si="2"/>
        <v>0.90269636576787815</v>
      </c>
      <c r="O11" s="2">
        <f t="shared" si="3"/>
        <v>1.1412661195779603</v>
      </c>
      <c r="P11" s="4">
        <f t="array" ref="P11">INDEX('Table 8'!$B$3:$B$49,MATCH($B11,'Table 8'!$A$3:$A$49,0))</f>
        <v>1.2627805278848327</v>
      </c>
      <c r="Q11" s="4">
        <f t="array" ref="Q11">INDEX('Table 8'!$D$3:$D$49,MATCH($B11,'Table 8'!$A$3:$A$49,0))</f>
        <v>15.32918008579218</v>
      </c>
      <c r="R11" s="4">
        <f t="array" ref="R11">INDEX('Table 8'!$B$3:$B$49,MATCH($C11,'Table 8'!$A$3:$A$49,0))</f>
        <v>0.74740000490497049</v>
      </c>
      <c r="S11" s="4">
        <f t="array" ref="S11">INDEX('Table 8'!$D$3:$D$49,MATCH($C11,'Table 8'!$A$3:$A$49,0))</f>
        <v>8.5451100067613179</v>
      </c>
      <c r="T11" s="4">
        <f t="shared" si="4"/>
        <v>0.14777814760554958</v>
      </c>
      <c r="U11" s="4">
        <f t="shared" si="5"/>
        <v>20.510008008016051</v>
      </c>
    </row>
    <row r="12" spans="1:21" ht="15" customHeight="1" x14ac:dyDescent="0.15">
      <c r="A12" t="s">
        <v>290</v>
      </c>
      <c r="B12" t="s">
        <v>142</v>
      </c>
      <c r="C12" t="s">
        <v>136</v>
      </c>
      <c r="D12" s="4">
        <f t="array" ref="D12">INDEX('Table 6'!$C$3:$C$51,MATCH($B12,'Table 6'!$A$3:$A$51,0))</f>
        <v>95.16</v>
      </c>
      <c r="E12" s="4">
        <f t="array" ref="E12">INDEX('Table 6'!$C$3:$C$51,MATCH($C12,'Table 6'!$A$3:$A$51,0))</f>
        <v>145.78</v>
      </c>
      <c r="F12" s="4">
        <f t="array" ref="F12">INDEX('Table 6'!$K$3:$K$51,MATCH($B12,'Table 6'!$A$3:$A$51,0))</f>
        <v>3.89</v>
      </c>
      <c r="G12" s="4">
        <f t="array" ref="G12">INDEX('Table 6'!$K$3:$K$51,MATCH($C12,'Table 6'!$A$3:$A$51,0))</f>
        <v>12.49</v>
      </c>
      <c r="H12" s="2">
        <f t="shared" si="0"/>
        <v>0.4771233548419232</v>
      </c>
      <c r="I12" s="2">
        <f t="array" ref="I12">INDEX('Table 7'!$E$3:$E$49,MATCH($B12,'Table 7'!$A$3:$A$49,0))/INDEX('Table 7'!$E$3:$E$49,MATCH($C12,'Table 7'!$A$3:$A$49,0))</f>
        <v>0.47712335484192325</v>
      </c>
      <c r="J12" s="2">
        <v>0.47599999999999998</v>
      </c>
      <c r="K12" s="7">
        <f t="shared" si="1"/>
        <v>-2.3544327279795274E-3</v>
      </c>
      <c r="L12" s="2">
        <v>0.36</v>
      </c>
      <c r="M12" s="2">
        <v>0.66700000000000004</v>
      </c>
      <c r="N12" s="2">
        <f t="shared" si="2"/>
        <v>0.75630252100840334</v>
      </c>
      <c r="O12" s="2">
        <f t="shared" si="3"/>
        <v>1.4012605042016808</v>
      </c>
      <c r="P12" s="4">
        <f t="array" ref="P12">INDEX('Table 8'!$B$3:$B$49,MATCH($B12,'Table 8'!$A$3:$A$49,0))</f>
        <v>1.2627805278848327</v>
      </c>
      <c r="Q12" s="4">
        <f t="array" ref="Q12">INDEX('Table 8'!$D$3:$D$49,MATCH($B12,'Table 8'!$A$3:$A$49,0))</f>
        <v>15.32918008579218</v>
      </c>
      <c r="R12" s="4">
        <f t="array" ref="R12">INDEX('Table 8'!$B$3:$B$49,MATCH($C12,'Table 8'!$A$3:$A$49,0))</f>
        <v>2.0678278454376153</v>
      </c>
      <c r="S12" s="4">
        <f t="array" ref="S12">INDEX('Table 8'!$D$3:$D$49,MATCH($C12,'Table 8'!$A$3:$A$49,0))</f>
        <v>39.081316124999837</v>
      </c>
      <c r="T12" s="4">
        <f t="shared" si="4"/>
        <v>3.2311617240470762E-2</v>
      </c>
      <c r="U12" s="4">
        <f t="shared" si="5"/>
        <v>7.4131800283151996</v>
      </c>
    </row>
    <row r="13" spans="1:21" ht="15" customHeight="1" x14ac:dyDescent="0.15">
      <c r="A13" t="s">
        <v>290</v>
      </c>
      <c r="B13" t="s">
        <v>148</v>
      </c>
      <c r="C13" t="s">
        <v>165</v>
      </c>
      <c r="D13" s="4">
        <f t="array" ref="D13">INDEX('Table 6'!$C$3:$C$51,MATCH($B13,'Table 6'!$A$3:$A$51,0))</f>
        <v>59.91</v>
      </c>
      <c r="E13" s="4">
        <f t="array" ref="E13">INDEX('Table 6'!$C$3:$C$51,MATCH($C13,'Table 6'!$A$3:$A$51,0))</f>
        <v>95.22</v>
      </c>
      <c r="F13" s="4">
        <f t="array" ref="F13">INDEX('Table 6'!$K$3:$K$51,MATCH($B13,'Table 6'!$A$3:$A$51,0))</f>
        <v>2.46</v>
      </c>
      <c r="G13" s="4">
        <f t="array" ref="G13">INDEX('Table 6'!$K$3:$K$51,MATCH($C13,'Table 6'!$A$3:$A$51,0))</f>
        <v>1.68</v>
      </c>
      <c r="H13" s="2">
        <f t="shared" si="0"/>
        <v>2.3273123971671796</v>
      </c>
      <c r="I13" s="2">
        <f t="array" ref="I13">INDEX('Table 7'!$E$3:$E$49,MATCH($B13,'Table 7'!$A$3:$A$49,0))/INDEX('Table 7'!$E$3:$E$49,MATCH($C13,'Table 7'!$A$3:$A$49,0))</f>
        <v>2.3273123971671796</v>
      </c>
      <c r="J13" s="2">
        <v>2.3210000000000002</v>
      </c>
      <c r="K13" s="7">
        <f t="shared" si="1"/>
        <v>-2.7123119246316163E-3</v>
      </c>
      <c r="L13" s="2">
        <v>2.1739999999999999</v>
      </c>
      <c r="M13" s="2">
        <v>2.5819999999999999</v>
      </c>
      <c r="N13" s="2">
        <f t="shared" si="2"/>
        <v>0.936665230504093</v>
      </c>
      <c r="O13" s="2">
        <f t="shared" si="3"/>
        <v>1.1124515295131407</v>
      </c>
      <c r="P13" s="4">
        <f t="array" ref="P13">INDEX('Table 8'!$B$3:$B$49,MATCH($B13,'Table 8'!$A$3:$A$49,0))</f>
        <v>1.2806072179317831</v>
      </c>
      <c r="Q13" s="4">
        <f t="array" ref="Q13">INDEX('Table 8'!$D$3:$D$49,MATCH($B13,'Table 8'!$A$3:$A$49,0))</f>
        <v>15.276568047859261</v>
      </c>
      <c r="R13" s="4">
        <f t="array" ref="R13">INDEX('Table 8'!$B$3:$B$49,MATCH($C13,'Table 8'!$A$3:$A$49,0))</f>
        <v>0.55404587017564566</v>
      </c>
      <c r="S13" s="4">
        <f t="array" ref="S13">INDEX('Table 8'!$D$3:$D$49,MATCH($C13,'Table 8'!$A$3:$A$49,0))</f>
        <v>6.1005931075236957</v>
      </c>
      <c r="T13" s="4">
        <f t="shared" si="4"/>
        <v>0.20991519928651611</v>
      </c>
      <c r="U13" s="4">
        <f t="shared" si="5"/>
        <v>27.572749604678449</v>
      </c>
    </row>
    <row r="16" spans="1:21" ht="15" customHeight="1" x14ac:dyDescent="0.15">
      <c r="A16" s="1" t="s">
        <v>292</v>
      </c>
    </row>
    <row r="17" spans="1:21" ht="17" customHeight="1" x14ac:dyDescent="0.15">
      <c r="A17" s="15" t="s">
        <v>293</v>
      </c>
      <c r="B17" s="16" t="s">
        <v>294</v>
      </c>
      <c r="C17" s="16"/>
      <c r="D17" s="16"/>
      <c r="E17" s="16"/>
      <c r="F17" s="16"/>
      <c r="G17" s="16"/>
      <c r="H17" s="16"/>
      <c r="I17" s="16"/>
      <c r="J17" s="16"/>
      <c r="K17" s="16"/>
      <c r="L17" s="16"/>
      <c r="M17" s="16"/>
      <c r="N17" s="16"/>
      <c r="O17" s="16"/>
      <c r="P17" s="16"/>
      <c r="Q17" s="16"/>
      <c r="R17" s="16"/>
      <c r="S17" s="16"/>
      <c r="T17" s="16"/>
      <c r="U17" s="16"/>
    </row>
    <row r="18" spans="1:21" ht="17" customHeight="1" x14ac:dyDescent="0.15">
      <c r="A18" s="15" t="s">
        <v>295</v>
      </c>
      <c r="B18" s="16" t="s">
        <v>296</v>
      </c>
      <c r="C18" s="16"/>
      <c r="D18" s="16"/>
      <c r="E18" s="16"/>
      <c r="F18" s="16"/>
      <c r="G18" s="16"/>
      <c r="H18" s="16"/>
      <c r="I18" s="16"/>
      <c r="J18" s="16"/>
      <c r="K18" s="16"/>
      <c r="L18" s="16"/>
      <c r="M18" s="16"/>
      <c r="N18" s="16"/>
      <c r="O18" s="16"/>
      <c r="P18" s="16"/>
      <c r="Q18" s="16"/>
      <c r="R18" s="16"/>
      <c r="S18" s="16"/>
      <c r="T18" s="16"/>
      <c r="U18" s="16"/>
    </row>
    <row r="19" spans="1:21" ht="17" customHeight="1" x14ac:dyDescent="0.15">
      <c r="A19" s="15" t="s">
        <v>297</v>
      </c>
      <c r="B19" s="16" t="s">
        <v>298</v>
      </c>
      <c r="C19" s="16"/>
      <c r="D19" s="16"/>
      <c r="E19" s="16"/>
      <c r="F19" s="16"/>
      <c r="G19" s="16"/>
      <c r="H19" s="16"/>
      <c r="I19" s="16"/>
      <c r="J19" s="16"/>
      <c r="K19" s="16"/>
      <c r="L19" s="16"/>
      <c r="M19" s="16"/>
      <c r="N19" s="16"/>
      <c r="O19" s="16"/>
      <c r="P19" s="16"/>
      <c r="Q19" s="16"/>
      <c r="R19" s="16"/>
      <c r="S19" s="16"/>
      <c r="T19" s="16"/>
      <c r="U19" s="16"/>
    </row>
    <row r="20" spans="1:21" ht="17" customHeight="1" x14ac:dyDescent="0.15">
      <c r="A20" s="15" t="s">
        <v>299</v>
      </c>
      <c r="B20" s="16" t="s">
        <v>300</v>
      </c>
      <c r="C20" s="16"/>
      <c r="D20" s="16"/>
      <c r="E20" s="16"/>
      <c r="F20" s="16"/>
      <c r="G20" s="16"/>
      <c r="H20" s="16"/>
      <c r="I20" s="16"/>
      <c r="J20" s="16"/>
      <c r="K20" s="16"/>
      <c r="L20" s="16"/>
      <c r="M20" s="16"/>
      <c r="N20" s="16"/>
      <c r="O20" s="16"/>
      <c r="P20" s="16"/>
      <c r="Q20" s="16"/>
      <c r="R20" s="16"/>
      <c r="S20" s="16"/>
      <c r="T20" s="16"/>
      <c r="U20" s="16"/>
    </row>
    <row r="21" spans="1:21" ht="17" customHeight="1" x14ac:dyDescent="0.15">
      <c r="A21" s="15" t="s">
        <v>301</v>
      </c>
      <c r="B21" s="16" t="s">
        <v>302</v>
      </c>
      <c r="C21" s="16"/>
      <c r="D21" s="16"/>
      <c r="E21" s="16"/>
      <c r="F21" s="16"/>
      <c r="G21" s="16"/>
      <c r="H21" s="16"/>
      <c r="I21" s="16"/>
      <c r="J21" s="16"/>
      <c r="K21" s="16"/>
      <c r="L21" s="16"/>
      <c r="M21" s="16"/>
      <c r="N21" s="16"/>
      <c r="O21" s="16"/>
      <c r="P21" s="16"/>
      <c r="Q21" s="16"/>
      <c r="R21" s="16"/>
      <c r="S21" s="16"/>
      <c r="T21" s="16"/>
      <c r="U21" s="16"/>
    </row>
    <row r="22" spans="1:21" ht="17" customHeight="1" x14ac:dyDescent="0.15">
      <c r="A22" s="15" t="s">
        <v>303</v>
      </c>
      <c r="B22" s="16" t="s">
        <v>304</v>
      </c>
      <c r="C22" s="16"/>
      <c r="D22" s="16"/>
      <c r="E22" s="16"/>
      <c r="F22" s="16"/>
      <c r="G22" s="16"/>
      <c r="H22" s="16"/>
      <c r="I22" s="16"/>
      <c r="J22" s="16"/>
      <c r="K22" s="16"/>
      <c r="L22" s="16"/>
      <c r="M22" s="16"/>
      <c r="N22" s="16"/>
      <c r="O22" s="16"/>
      <c r="P22" s="16"/>
      <c r="Q22" s="16"/>
      <c r="R22" s="16"/>
      <c r="S22" s="16"/>
      <c r="T22" s="16"/>
      <c r="U22" s="16"/>
    </row>
    <row r="23" spans="1:21" ht="17" customHeight="1" x14ac:dyDescent="0.15">
      <c r="A23" s="15" t="s">
        <v>305</v>
      </c>
      <c r="B23" s="16" t="s">
        <v>306</v>
      </c>
      <c r="C23" s="16"/>
      <c r="D23" s="16"/>
      <c r="E23" s="16"/>
      <c r="F23" s="16"/>
      <c r="G23" s="16"/>
      <c r="H23" s="16"/>
      <c r="I23" s="16"/>
      <c r="J23" s="16"/>
      <c r="K23" s="16"/>
      <c r="L23" s="16"/>
      <c r="M23" s="16"/>
      <c r="N23" s="16"/>
      <c r="O23" s="16"/>
      <c r="P23" s="16"/>
      <c r="Q23" s="16"/>
      <c r="R23" s="16"/>
      <c r="S23" s="16"/>
      <c r="T23" s="16"/>
      <c r="U23" s="16"/>
    </row>
  </sheetData>
  <mergeCells count="8">
    <mergeCell ref="B21:U21"/>
    <mergeCell ref="B22:U22"/>
    <mergeCell ref="B23:U23"/>
    <mergeCell ref="A1:U1"/>
    <mergeCell ref="B17:U17"/>
    <mergeCell ref="B18:U18"/>
    <mergeCell ref="B19:U19"/>
    <mergeCell ref="B20:U2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2"/>
  <sheetViews>
    <sheetView zoomScaleNormal="100" workbookViewId="0"/>
  </sheetViews>
  <sheetFormatPr baseColWidth="10" defaultColWidth="14.5" defaultRowHeight="15" customHeight="1" x14ac:dyDescent="0.15"/>
  <cols>
    <col min="1" max="1" width="58" customWidth="1"/>
    <col min="2" max="5" width="16" customWidth="1"/>
    <col min="6" max="7" width="8.6640625" customWidth="1"/>
  </cols>
  <sheetData>
    <row r="1" spans="1:6" ht="15" customHeight="1" x14ac:dyDescent="0.15">
      <c r="A1" s="1" t="s">
        <v>347</v>
      </c>
    </row>
    <row r="3" spans="1:6" ht="15" customHeight="1" x14ac:dyDescent="0.15">
      <c r="B3" s="1" t="s">
        <v>307</v>
      </c>
      <c r="C3" s="1" t="s">
        <v>308</v>
      </c>
    </row>
    <row r="4" spans="1:6" ht="15" customHeight="1" x14ac:dyDescent="0.15">
      <c r="A4" s="14" t="s">
        <v>349</v>
      </c>
      <c r="B4" s="2">
        <v>0.57699999999999996</v>
      </c>
      <c r="C4" s="2">
        <v>0.42299999999999999</v>
      </c>
    </row>
    <row r="5" spans="1:6" ht="15" customHeight="1" x14ac:dyDescent="0.15">
      <c r="A5" s="14" t="s">
        <v>350</v>
      </c>
      <c r="B5" s="2">
        <v>3.0979999999999999</v>
      </c>
      <c r="C5" s="2">
        <v>2.875</v>
      </c>
    </row>
    <row r="6" spans="1:6" ht="15" customHeight="1" x14ac:dyDescent="0.15">
      <c r="A6" t="s">
        <v>309</v>
      </c>
      <c r="B6" s="5">
        <f>(B5-5*B4)/9500*1000</f>
        <v>2.2421052631578956E-2</v>
      </c>
      <c r="C6" s="5">
        <f>(C5-5*C4)/9500*1000</f>
        <v>8.0000000000000016E-2</v>
      </c>
    </row>
    <row r="7" spans="1:6" ht="15" customHeight="1" x14ac:dyDescent="0.15">
      <c r="A7" t="s">
        <v>310</v>
      </c>
      <c r="B7" s="2">
        <f>(B4-100*B6/1000)/300*1000</f>
        <v>1.9158596491228068</v>
      </c>
      <c r="C7" s="2">
        <f>(C4-100*C6/1000)/300*1000</f>
        <v>1.3833333333333333</v>
      </c>
    </row>
    <row r="8" spans="1:6" ht="15" customHeight="1" x14ac:dyDescent="0.15">
      <c r="A8" t="s">
        <v>311</v>
      </c>
      <c r="B8" s="5">
        <f>B6/B7</f>
        <v>1.170286802681221E-2</v>
      </c>
      <c r="C8" s="5">
        <f>C6/C7</f>
        <v>5.7831325301204835E-2</v>
      </c>
    </row>
    <row r="9" spans="1:6" ht="15" customHeight="1" x14ac:dyDescent="0.15">
      <c r="A9" t="s">
        <v>312</v>
      </c>
      <c r="B9" s="7">
        <f>100*B6/1000/B4</f>
        <v>3.8857976831159369E-3</v>
      </c>
      <c r="C9" s="7">
        <f>100*C6/1000/C4</f>
        <v>1.891252955082743E-2</v>
      </c>
    </row>
    <row r="10" spans="1:6" ht="15" customHeight="1" x14ac:dyDescent="0.15">
      <c r="A10" t="s">
        <v>313</v>
      </c>
    </row>
    <row r="12" spans="1:6" ht="15" customHeight="1" x14ac:dyDescent="0.15">
      <c r="A12" s="1" t="s">
        <v>314</v>
      </c>
    </row>
    <row r="13" spans="1:6" ht="15" customHeight="1" x14ac:dyDescent="0.15">
      <c r="A13" s="1" t="s">
        <v>315</v>
      </c>
      <c r="B13" s="1" t="s">
        <v>316</v>
      </c>
      <c r="C13" s="1" t="s">
        <v>317</v>
      </c>
      <c r="D13" s="1" t="s">
        <v>318</v>
      </c>
      <c r="E13" s="1" t="s">
        <v>319</v>
      </c>
      <c r="F13" s="1" t="s">
        <v>320</v>
      </c>
    </row>
    <row r="14" spans="1:6" ht="15" customHeight="1" x14ac:dyDescent="0.15">
      <c r="A14" t="s">
        <v>321</v>
      </c>
      <c r="B14" s="6">
        <v>100</v>
      </c>
      <c r="C14" s="6">
        <v>300</v>
      </c>
      <c r="D14" s="4">
        <v>1</v>
      </c>
      <c r="E14" s="4">
        <f>(1+$B$8*B14/(D14*C14))/(1+$B$8/3)</f>
        <v>1</v>
      </c>
      <c r="F14" s="4">
        <f>(1+$C$8*B14/(D14*C14))/(1+$C$8/3)</f>
        <v>1</v>
      </c>
    </row>
    <row r="15" spans="1:6" ht="15" customHeight="1" x14ac:dyDescent="0.15">
      <c r="A15" t="s">
        <v>322</v>
      </c>
      <c r="B15" s="6">
        <v>1000</v>
      </c>
      <c r="C15" s="6">
        <v>1000</v>
      </c>
      <c r="D15" s="4">
        <v>1</v>
      </c>
      <c r="E15" s="4">
        <f>(1+$B$8*B15/(D15*C15))/(1+$B$8/3)</f>
        <v>1.0077715953662321</v>
      </c>
      <c r="F15" s="4">
        <f>(1+$C$8*B15/(D15*C15))/(1+$C$8/3)</f>
        <v>1.0378250591016549</v>
      </c>
    </row>
    <row r="16" spans="1:6" ht="15" customHeight="1" x14ac:dyDescent="0.15">
      <c r="A16" t="s">
        <v>323</v>
      </c>
      <c r="B16" s="6">
        <v>10000</v>
      </c>
      <c r="C16" s="6">
        <v>1500</v>
      </c>
      <c r="D16" s="4">
        <v>1</v>
      </c>
      <c r="E16" s="4">
        <f>(1+$B$8*B16/(D16*C16))/(1+$B$8/3)</f>
        <v>1.0738301559792029</v>
      </c>
      <c r="F16" s="4">
        <f>(1+$C$8*B16/(D16*C16))/(1+$C$8/3)</f>
        <v>1.3593380614657213</v>
      </c>
    </row>
    <row r="17" spans="1:7" ht="15" customHeight="1" x14ac:dyDescent="0.15">
      <c r="A17" t="s">
        <v>324</v>
      </c>
      <c r="B17" s="6">
        <v>50000</v>
      </c>
      <c r="C17" s="6">
        <v>1000</v>
      </c>
      <c r="D17" s="4">
        <f>Corpus!H42</f>
        <v>1.64</v>
      </c>
      <c r="E17" s="4">
        <f>(1+$B$8*B17/(D17*C17))/(1+$B$8/3)</f>
        <v>1.3515225269921223</v>
      </c>
      <c r="F17" s="4">
        <f>(1+$C$8*B17/(D17*C17))/(1+$C$8/3)</f>
        <v>2.7108920025370469</v>
      </c>
    </row>
    <row r="19" spans="1:7" ht="15" customHeight="1" x14ac:dyDescent="0.15">
      <c r="A19" s="1" t="s">
        <v>325</v>
      </c>
    </row>
    <row r="20" spans="1:7" ht="15" customHeight="1" x14ac:dyDescent="0.15">
      <c r="A20" s="1"/>
      <c r="B20" s="1" t="s">
        <v>326</v>
      </c>
      <c r="C20" s="1" t="s">
        <v>327</v>
      </c>
      <c r="D20" s="1" t="s">
        <v>328</v>
      </c>
      <c r="E20" s="1" t="s">
        <v>329</v>
      </c>
      <c r="F20" s="1" t="s">
        <v>330</v>
      </c>
      <c r="G20" s="1" t="s">
        <v>331</v>
      </c>
    </row>
    <row r="21" spans="1:7" ht="15.75" customHeight="1" x14ac:dyDescent="0.15">
      <c r="A21" t="s">
        <v>332</v>
      </c>
      <c r="B21" s="4">
        <f>'Table 8'!B42*1000/1000*$E$17</f>
        <v>1.3169665489264897</v>
      </c>
      <c r="C21" s="4">
        <f>'Table 8'!C42*1000/1000*$E$17</f>
        <v>6.8978040542949213</v>
      </c>
      <c r="D21" s="4">
        <f>'Table 8'!D42*1000/1000*$E$17</f>
        <v>14.289767606139243</v>
      </c>
      <c r="E21" s="4">
        <f>'Table 8'!E42*1000/1000*$E$17</f>
        <v>0.1925084247156002</v>
      </c>
      <c r="F21" s="4">
        <f>'Table 8'!F42*1000/1000*$E$17</f>
        <v>1.0082909042538752</v>
      </c>
      <c r="G21" s="4">
        <f>'Table 8'!G42*1000/1000*$E$17</f>
        <v>2.0888158880362182</v>
      </c>
    </row>
    <row r="22" spans="1:7" ht="15.75" customHeight="1" x14ac:dyDescent="0.15">
      <c r="A22" t="s">
        <v>333</v>
      </c>
      <c r="B22" s="13">
        <f>B8*(12.49-1)/(3*12.49)</f>
        <v>3.5886296671489805E-3</v>
      </c>
      <c r="C22" s="13">
        <f>C8*(12.49-1)/(3*12.49)</f>
        <v>1.7733705036318218E-2</v>
      </c>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Assumptions</vt:lpstr>
      <vt:lpstr>Corpus</vt:lpstr>
      <vt:lpstr>Grid Intensity Data</vt:lpstr>
      <vt:lpstr>Table 1</vt:lpstr>
      <vt:lpstr>Table 6</vt:lpstr>
      <vt:lpstr>Table 7</vt:lpstr>
      <vt:lpstr>C_Low</vt:lpstr>
      <vt:lpstr>C_High</vt:lpstr>
      <vt:lpstr>Table 8</vt:lpstr>
      <vt:lpstr>Table 8 - Log Widths</vt:lpstr>
      <vt:lpstr>Table B1</vt:lpstr>
      <vt:lpstr>Bootstrap</vt:lpstr>
      <vt:lpstr>Pinching</vt:lpstr>
      <vt:lpstr>Ratio Envelopes</vt:lpstr>
      <vt:lpstr>Shape Correction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James Manktelow</cp:lastModifiedBy>
  <cp:revision>0</cp:revision>
  <dcterms:created xsi:type="dcterms:W3CDTF">2026-09-21T12:39:15Z</dcterms:created>
  <dcterms:modified xsi:type="dcterms:W3CDTF">2026-09-23T16:25:24Z</dcterms:modified>
  <dc:language>en-GB</dc:language>
</cp:coreProperties>
</file>