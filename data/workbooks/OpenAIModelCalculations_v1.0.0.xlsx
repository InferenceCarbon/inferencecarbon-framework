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GridIntensity" sheetId="2" state="visible" r:id="rId4"/>
    <sheet name="Corpus" sheetId="3" state="visible" r:id="rId5"/>
    <sheet name="Table6" sheetId="4" state="visible" r:id="rId6"/>
    <sheet name="Table7" sheetId="5" state="visible" r:id="rId7"/>
    <sheet name="C_Low" sheetId="6" state="visible" r:id="rId8"/>
    <sheet name="C_High" sheetId="7" state="visible" r:id="rId9"/>
    <sheet name="Table8" sheetId="8" state="visible" r:id="rId10"/>
    <sheet name="T1_GPT55_Grid" sheetId="9" state="visible" r:id="rId11"/>
    <sheet name="TableB1" sheetId="10" state="visible" r:id="rId12"/>
    <sheet name="Levers" sheetId="11" state="visible" r:id="rId13"/>
    <sheet name="Bootstrap" sheetId="12" state="visible" r:id="rId14"/>
    <sheet name="Pinching" sheetId="13" state="visible" r:id="rId15"/>
    <sheet name="RatioEnvelopes" sheetId="14" state="visible" r:id="rId16"/>
    <sheet name="ShapeCorrection"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<sst xmlns="http://schemas.openxmlformats.org/spreadsheetml/2006/main" count="959" uniqueCount="345">
  <si>
    <t xml:space="preserve">Assumptions — paper-authoritative constants (v1.0.0). Typed values are inputs; every other number is a formula. Sources in column D.</t>
  </si>
  <si>
    <t xml:space="preserve">Anchor Wh per 100-input / 300-output-token query (GPT-4o-mini)</t>
  </si>
  <si>
    <t xml:space="preserve">Jegham et al. [15]; 100 input + 300 output tokens (Section 4.4)</t>
  </si>
  <si>
    <t xml:space="preserve">Per-1,000-token conversion factor</t>
  </si>
  <si>
    <t xml:space="preserve">Equals 1000/300 total tokens (Appendix D.5.1 -- 100 input tokens, 300 output tokens, not 400 tokens)</t>
  </si>
  <si>
    <t xml:space="preserve">Anchor TPS (gpt-4o-mini, campaign P50)</t>
  </si>
  <si>
    <t xml:space="preserve">Frozen corpus 24 Jun-22 Aug 2026 (SHA-256 01c57eb5...84cc6), n=105</t>
  </si>
  <si>
    <t xml:space="preserve">PUE multiplier (central, absolute)</t>
  </si>
  <si>
    <t xml:space="preserve">PUE_Calculation_Aug2026.xlsx / Table D1</t>
  </si>
  <si>
    <t xml:space="preserve">PQPC for GPT-5.x</t>
  </si>
  <si>
    <t xml:space="preserve">Section 4.10 (GB200/GB300-dominant fleet)</t>
  </si>
  <si>
    <t xml:space="preserve">PQPC for GPT-4o-mini</t>
  </si>
  <si>
    <t xml:space="preserve">Appendix D.5.4 (A100-era anchor deployment)</t>
  </si>
  <si>
    <t xml:space="preserve">Location-based intensity gCO2e/Wh</t>
  </si>
  <si>
    <t xml:space="preserve">Table 3 / Section 4.7</t>
  </si>
  <si>
    <t xml:space="preserve">Market-based intensity gCO2e/Wh (Stargate credited at Oracle FY25 corporate 46 gCO2e/kWh; Google credited at CY2025 realised market-based Scope 2 — Section 4.8)</t>
  </si>
  <si>
    <t xml:space="preserve">Table 5 / Section 4.8 — computed in GridIntensity!F20</t>
  </si>
  <si>
    <t xml:space="preserve">A_low</t>
  </si>
  <si>
    <t xml:space="preserve">Appendix D.6: Epoch 0.30 Wh @500 out = 0.60 Wh/1,000 output tokens; Jegham GPT-4o 0.423 Wh @300 out = 1.41; A_low = 0.60/1.41.</t>
  </si>
  <si>
    <t xml:space="preserve">A_high</t>
  </si>
  <si>
    <t xml:space="preserve">Appendix D.6: upward allowance for Jegham boundary omissions (provisioned-idle and overhead), ~18% of full-stack energy in Google's decomposition [2].</t>
  </si>
  <si>
    <t xml:space="preserve">PQPC_low (relative)</t>
  </si>
  <si>
    <t xml:space="preserve">Section 4.10</t>
  </si>
  <si>
    <t xml:space="preserve">PQPC_high (relative)</t>
  </si>
  <si>
    <t xml:space="preserve">P_low</t>
  </si>
  <si>
    <t xml:space="preserve">Table D1 relative</t>
  </si>
  <si>
    <t xml:space="preserve">P_high</t>
  </si>
  <si>
    <t xml:space="preserve">Fixed_low GPT-5.x</t>
  </si>
  <si>
    <t xml:space="preserve">Formula: A_low x PQPC_low x P_low</t>
  </si>
  <si>
    <t xml:space="preserve">Fixed_high GPT-5.x</t>
  </si>
  <si>
    <t xml:space="preserve">Formula: A_high x PQPC_high x P_high</t>
  </si>
  <si>
    <t xml:space="preserve">Fixed_low GPT-4o-mini</t>
  </si>
  <si>
    <t xml:space="preserve">Formula: A_low x 1 x P_low</t>
  </si>
  <si>
    <t xml:space="preserve">Fixed_high GPT-4o-mini</t>
  </si>
  <si>
    <t xml:space="preserve">Formula: A_high x 1 x P_high</t>
  </si>
  <si>
    <t xml:space="preserve">Market-based intensity gCO2e/Wh, procurement-lag scenario (Stargate uncredited — Section 4.8 / Table 10: 159 gCO2e/kWh)</t>
  </si>
  <si>
    <t xml:space="preserve">Table 10 procurement-lag row — computed in GridIntensity!G30</t>
  </si>
  <si>
    <t xml:space="preserve">Corpus provenance: InferenceCarbon_corpus_frozen_20260822.zip, SHA-256 01c57eb5bf41476fee8e06a8b677a72c172c849741cc65a9b554cf7397d84cc6. Copyright (c) 2026 InferenceCarbon Ltd.</t>
  </si>
  <si>
    <t xml:space="preserve">GridIntensity — Tables 3, 4, 5 and 10 (Sections 4.5 – 4.8, 5.4). Typed values are inputs; every other number is a formula. Google is credited at its GHG Protocol 2015 market-based Scope 2 realised intensity (Google 2026 Environmental Report, CY2025).</t>
  </si>
  <si>
    <t xml:space="preserve">Google inputs (2026 Environmental Report, Environmental metrics data tables, pp. 89, 92)</t>
  </si>
  <si>
    <t xml:space="preserve">Scope 2 market-based, CY2025 (tCO2e)</t>
  </si>
  <si>
    <t xml:space="preserve">Google 2026 Environmental Report, p. 89 — third-party limited assurance</t>
  </si>
  <si>
    <t xml:space="preserve">Scope 2 location-based, CY2025 (tCO2e)</t>
  </si>
  <si>
    <t xml:space="preserve">Google 2026 Environmental Report, p. 89</t>
  </si>
  <si>
    <t xml:space="preserve">Total electricity consumption, CY2025 (MWh)</t>
  </si>
  <si>
    <t xml:space="preserve">Google 2026 Environmental Report, p. 92 (data centres 42,415,800 MWh = 97.3%)</t>
  </si>
  <si>
    <t xml:space="preserve">Scope 2 market-based, CY2024 (tCO2e)</t>
  </si>
  <si>
    <t xml:space="preserve">Total electricity consumption, CY2024 (MWh)</t>
  </si>
  <si>
    <t xml:space="preserve">Google 2026 Environmental Report, p. 92</t>
  </si>
  <si>
    <t xml:space="preserve">Hourly CFE, data centres, CY2025 (%)</t>
  </si>
  <si>
    <t xml:space="preserve">Google 2026 Environmental Report, p. 93 — reported alongside, not instead of, market-based Scope 2; not used in Table 4</t>
  </si>
  <si>
    <t xml:space="preserve">Google realised market-based intensity, CY2025 (gCO2e/kWh)</t>
  </si>
  <si>
    <t xml:space="preserve">tCO2e × 1e6 / (MWh × 1e3) — Section 3.7 realised-intensity rule, as applied to Microsoft [32] and Oracle [16]</t>
  </si>
  <si>
    <t xml:space="preserve">Google realised location-based intensity, CY2025 (gCO2e/kWh)</t>
  </si>
  <si>
    <t xml:space="preserve">Cross-check on Appendix D.3 assessed GCP intensity of 335 (row 17)</t>
  </si>
  <si>
    <t xml:space="preserve">Google realised market-based intensity, CY2024 (gCO2e/kWh)</t>
  </si>
  <si>
    <t xml:space="preserve">Prior-year comparator only</t>
  </si>
  <si>
    <t xml:space="preserve">Tables 3 – 5: provider routing shares and intensities</t>
  </si>
  <si>
    <t xml:space="preserve">Provider</t>
  </si>
  <si>
    <t xml:space="preserve">Routing share (Section 4.5)</t>
  </si>
  <si>
    <t xml:space="preserve">Location-based gCO2e/kWh (Section 4.6)</t>
  </si>
  <si>
    <t xml:space="preserve">LB contribution (Table 3)</t>
  </si>
  <si>
    <t xml:space="preserve">Market-based gCO2e/kWh (Table 4)</t>
  </si>
  <si>
    <t xml:space="preserve">MB contribution (Table 5)</t>
  </si>
  <si>
    <t xml:space="preserve">Market-based basis</t>
  </si>
  <si>
    <t xml:space="preserve">Microsoft Azure</t>
  </si>
  <si>
    <t xml:space="preserve">FY2025 reported market-based Scope 2: 2,707,428 mtCO2e / 37.0 TWh [32]</t>
  </si>
  <si>
    <t xml:space="preserve">Oracle / Stargate</t>
  </si>
  <si>
    <t xml:space="preserve">FY25 reported market-based Scope 2: 237,251 tCO2e / 5.16 TWh [16]; out-of-period</t>
  </si>
  <si>
    <t xml:space="preserve">Amazon Web Services</t>
  </si>
  <si>
    <t xml:space="preserve">100% annual match claimed, credited at face value; no AWS-level intensity computable (limitation 27)</t>
  </si>
  <si>
    <t xml:space="preserve">Google Cloud Platform</t>
  </si>
  <si>
    <t xml:space="preserve">CY2025 reported market-based Scope 2: 2,815,000 tCO2e / 43,586,600 MWh (row 10)</t>
  </si>
  <si>
    <t xml:space="preserve">Weighted total</t>
  </si>
  <si>
    <t xml:space="preserve">D20 = Table 3 location-based total; F20 = Table 5 market-based total</t>
  </si>
  <si>
    <t xml:space="preserve">Market-based reduction vs location-based (%)</t>
  </si>
  <si>
    <t xml:space="preserve">Google share of market-based total (%)</t>
  </si>
  <si>
    <t xml:space="preserve">Oracle/Stargate share of market-based total (%)</t>
  </si>
  <si>
    <t xml:space="preserve">Google market-based conversion multiplier (Table 4)</t>
  </si>
  <si>
    <t xml:space="preserve">Table 10: routing-share sensitivity (Section 5.4)</t>
  </si>
  <si>
    <t xml:space="preserve">Routing scenario</t>
  </si>
  <si>
    <t xml:space="preserve">Azure</t>
  </si>
  <si>
    <t xml:space="preserve">AWS</t>
  </si>
  <si>
    <t xml:space="preserve">GCP</t>
  </si>
  <si>
    <t xml:space="preserve">Location-based gCO2e/kWh</t>
  </si>
  <si>
    <t xml:space="preserve">Market-based gCO2e/kWh</t>
  </si>
  <si>
    <t xml:space="preserve">Azure-dominant illustration (70 / 10 / 5 / 15)</t>
  </si>
  <si>
    <t xml:space="preserve">Contract-weighted central (23.4 / 39.3 / 11.7 / 25.5)</t>
  </si>
  <si>
    <t xml:space="preserve">Procurement-lag scenario: Stargate uncredited (23.4 / 39.3 / 11.7 / 25.5)</t>
  </si>
  <si>
    <t xml:space="preserve">Stargate-ramped illustration (15 / 70 / 5 / 10)</t>
  </si>
  <si>
    <t xml:space="preserve">Procurement-lag row credits Oracle/Stargate at its location-based intensity (319) rather than its reported FY25 market-based Scope 2 (46).</t>
  </si>
  <si>
    <t xml:space="preserve">Measured inputs from the frozen corpus (24 Jun - 22 Aug 2026). All values are measured data (medians / daily-median stats), not editable assumptions.</t>
  </si>
  <si>
    <t xml:space="preserve">Row label</t>
  </si>
  <si>
    <t xml:space="preserve">Corpus label</t>
  </si>
  <si>
    <t xml:space="preserve">TPS median (P50)</t>
  </si>
  <si>
    <t xml:space="preserve">n TPS</t>
  </si>
  <si>
    <t xml:space="preserve">TPS daily-median mean</t>
  </si>
  <si>
    <t xml:space="preserve">TPS daily-median SD</t>
  </si>
  <si>
    <t xml:space="preserve">days</t>
  </si>
  <si>
    <t xml:space="preserve">R central (1k hard)</t>
  </si>
  <si>
    <t xml:space="preserve">n</t>
  </si>
  <si>
    <t xml:space="preserve">R short (100/300 hard)</t>
  </si>
  <si>
    <t xml:space="preserve">R long (10k hard)</t>
  </si>
  <si>
    <t xml:space="preserve">R floor (easy 10k)</t>
  </si>
  <si>
    <t xml:space="preserve">R heavy (k=36)</t>
  </si>
  <si>
    <t xml:space="preserve">Mode</t>
  </si>
  <si>
    <t xml:space="preserve">PQPC class</t>
  </si>
  <si>
    <t xml:space="preserve">gpt-4o-mini</t>
  </si>
  <si>
    <t xml:space="preserve">None</t>
  </si>
  <si>
    <t xml:space="preserve">4o</t>
  </si>
  <si>
    <t xml:space="preserve">gpt-5 (non-reasoning)</t>
  </si>
  <si>
    <t xml:space="preserve">gpt-5 (minimal)</t>
  </si>
  <si>
    <t xml:space="preserve">5x</t>
  </si>
  <si>
    <t xml:space="preserve">gpt-5 (low)</t>
  </si>
  <si>
    <t xml:space="preserve">Low</t>
  </si>
  <si>
    <t xml:space="preserve">gpt-5 (medium)</t>
  </si>
  <si>
    <t xml:space="preserve">Medium</t>
  </si>
  <si>
    <t xml:space="preserve">gpt-5 (high)</t>
  </si>
  <si>
    <t xml:space="preserve">High</t>
  </si>
  <si>
    <t xml:space="preserve">gpt-5 (xhigh)</t>
  </si>
  <si>
    <t xml:space="preserve">xHigh</t>
  </si>
  <si>
    <t xml:space="preserve">gpt-5.2 (non-reasoning)</t>
  </si>
  <si>
    <t xml:space="preserve">gpt-5.2 (minimal)</t>
  </si>
  <si>
    <t xml:space="preserve">gpt-5.2 (low)</t>
  </si>
  <si>
    <t xml:space="preserve">gpt-5.2 (medium)</t>
  </si>
  <si>
    <t xml:space="preserve">gpt-5.2 (high)</t>
  </si>
  <si>
    <t xml:space="preserve">gpt-5.2 (xhigh)</t>
  </si>
  <si>
    <t xml:space="preserve">gpt-5.4-nano (non-reasoning)</t>
  </si>
  <si>
    <t xml:space="preserve">gpt-5.4-nano (minimal)</t>
  </si>
  <si>
    <t xml:space="preserve">gpt-5.4-nano (low)</t>
  </si>
  <si>
    <t xml:space="preserve">gpt-5.4-nano (medium)</t>
  </si>
  <si>
    <t xml:space="preserve">gpt-5.4-nano (high)</t>
  </si>
  <si>
    <t xml:space="preserve">gpt-5.4-nano (xhigh)</t>
  </si>
  <si>
    <t xml:space="preserve">gpt-5.4-mini (non-reasoning)</t>
  </si>
  <si>
    <t xml:space="preserve">gpt-5.4-mini (minimal)</t>
  </si>
  <si>
    <t xml:space="preserve">gpt-5.4-mini (low)</t>
  </si>
  <si>
    <t xml:space="preserve">gpt-5.4-mini (medium)</t>
  </si>
  <si>
    <t xml:space="preserve">gpt-5.4-mini (high)</t>
  </si>
  <si>
    <t xml:space="preserve">gpt-5.4-mini (xhigh)</t>
  </si>
  <si>
    <t xml:space="preserve">gpt-5.4 (non-reasoning)</t>
  </si>
  <si>
    <t xml:space="preserve">gpt-5.4 (minimal)</t>
  </si>
  <si>
    <t xml:space="preserve">gpt-5.4 (low)</t>
  </si>
  <si>
    <t xml:space="preserve">gpt-5.4 (medium)</t>
  </si>
  <si>
    <t xml:space="preserve">gpt-5.4 (high)</t>
  </si>
  <si>
    <t xml:space="preserve">gpt-5.4 (xhigh)</t>
  </si>
  <si>
    <t xml:space="preserve">gpt-5.5 (minimal)</t>
  </si>
  <si>
    <t xml:space="preserve">Minimal (measured)</t>
  </si>
  <si>
    <t xml:space="preserve">gpt-5.5 (low)</t>
  </si>
  <si>
    <t xml:space="preserve">gpt-5.5 (medium)</t>
  </si>
  <si>
    <t xml:space="preserve">gpt-5.5 (high)</t>
  </si>
  <si>
    <t xml:space="preserve">gpt-5.5 (xhigh)</t>
  </si>
  <si>
    <t xml:space="preserve">gpt-5.6-luna (minimal)</t>
  </si>
  <si>
    <t xml:space="preserve">gpt-5.6-luna (low)</t>
  </si>
  <si>
    <t xml:space="preserve">gpt-5.6-luna (medium)</t>
  </si>
  <si>
    <t xml:space="preserve">gpt-5.6-luna (high)</t>
  </si>
  <si>
    <t xml:space="preserve">gpt-5.6-luna (xhigh)</t>
  </si>
  <si>
    <t xml:space="preserve">gpt-5.6-sol (minimal)</t>
  </si>
  <si>
    <t xml:space="preserve">gpt-5.6-sol (low)</t>
  </si>
  <si>
    <t xml:space="preserve">gpt-5.6-sol (medium)</t>
  </si>
  <si>
    <t xml:space="preserve">gpt-5.6-sol (high)</t>
  </si>
  <si>
    <t xml:space="preserve">gpt-5.6-sol (xhigh)</t>
  </si>
  <si>
    <t xml:space="preserve">gpt-5.6-sol (max)*</t>
  </si>
  <si>
    <t xml:space="preserve">Max (floor)</t>
  </si>
  <si>
    <t xml:space="preserve">gpt-5.6-terra (minimal)</t>
  </si>
  <si>
    <t xml:space="preserve">gpt-5.6-terra (low)</t>
  </si>
  <si>
    <t xml:space="preserve">gpt-5.6-terra (medium)</t>
  </si>
  <si>
    <t xml:space="preserve">gpt-5.6-terra (high)</t>
  </si>
  <si>
    <t xml:space="preserve">gpt-5.6-terra (xhigh)</t>
  </si>
  <si>
    <t xml:space="preserve">Table 6 — Anchor scaling chain (all formulas). Anchor 0.577 Wh x 3.333 -&gt; TPS scale -&gt; PUE -&gt; PQPC -&gt; Reasoning multiplier.</t>
  </si>
  <si>
    <t xml:space="preserve">Model</t>
  </si>
  <si>
    <t xml:space="preserve">Anchor Wh/1,000 tokens</t>
  </si>
  <si>
    <t xml:space="preserve">Tokens-Per-Second</t>
  </si>
  <si>
    <t xml:space="preserve">TPS Adjustment</t>
  </si>
  <si>
    <t xml:space="preserve">TPS-Scaled Wh</t>
  </si>
  <si>
    <t xml:space="preserve">PUE Multiplier</t>
  </si>
  <si>
    <t xml:space="preserve">PUE-Adjusted Wh</t>
  </si>
  <si>
    <t xml:space="preserve">PQPC</t>
  </si>
  <si>
    <t xml:space="preserve">PQPC-Adjusted Wh</t>
  </si>
  <si>
    <t xml:space="preserve">Reasoning Mode</t>
  </si>
  <si>
    <t xml:space="preserve">Reasoning Multiplier</t>
  </si>
  <si>
    <t xml:space="preserve">Adjusted Per-Model Wh/1,000 tokens</t>
  </si>
  <si>
    <t xml:space="preserve">gpt-5.6-sol (max)*: xhigh values carried as explicit floors (limitation 18; tier not measured before the close). All 46 measured variants are carried; the gpt-5 effort ladder is non-monotonic (R 6.12 at high, 3.75 at xhigh).</t>
  </si>
  <si>
    <t xml:space="preserve">Table 7 — Conversion to location-based and market-based gCO2e/1,000 tokens.</t>
  </si>
  <si>
    <t xml:space="preserve">LB gCO2e/Wh</t>
  </si>
  <si>
    <t xml:space="preserve">MB gCO2e/Wh</t>
  </si>
  <si>
    <t xml:space="preserve">Location-Based gCO2e/1,000 tokens</t>
  </si>
  <si>
    <t xml:space="preserve">Market-Based gCO2e/1,000 tokens</t>
  </si>
  <si>
    <t xml:space="preserve">Market-Based (procurement-lag) gCO2e/1,000 tokens</t>
  </si>
  <si>
    <t xml:space="preserve">Appendix C — staged low-range calculation (formulas). T and R bands are bootstrap percentile factors from the Bootstrap sheet (v1.0.0); A, PQPC and P are declared bounds (Assumptions).</t>
  </si>
  <si>
    <t xml:space="preserve">Adjusted Wh</t>
  </si>
  <si>
    <t xml:space="preserve">TPS Mean</t>
  </si>
  <si>
    <t xml:space="preserve">TPS SD</t>
  </si>
  <si>
    <t xml:space="preserve">Fixed_low</t>
  </si>
  <si>
    <t xml:space="preserve">TPS_low</t>
  </si>
  <si>
    <t xml:space="preserve">R_low</t>
  </si>
  <si>
    <t xml:space="preserve">Compounded</t>
  </si>
  <si>
    <t xml:space="preserve">Wh_low</t>
  </si>
  <si>
    <t xml:space="preserve">LB gCO2e/1,000 tokens</t>
  </si>
  <si>
    <t xml:space="preserve">MB gCO2e/1,000 tokens</t>
  </si>
  <si>
    <t xml:space="preserve">MB (procurement-lag) gCO2e/1,000 tokens</t>
  </si>
  <si>
    <t xml:space="preserve">Appendix C — staged high-range calculation (formulas). T and R bands are bootstrap percentile factors from the Bootstrap sheet (v1.0.0); A, PQPC and P are declared bounds (Assumptions).</t>
  </si>
  <si>
    <t xml:space="preserve">Fixed_high</t>
  </si>
  <si>
    <t xml:space="preserve">TPS_high</t>
  </si>
  <si>
    <t xml:space="preserve">R_high</t>
  </si>
  <si>
    <t xml:space="preserve">Wh_high</t>
  </si>
  <si>
    <t xml:space="preserve">Table 8 — uncertainty bounds (links to C_Low / C_High and Table 7). Columns H-J: market-based bounds under the procurement-lag crediting scenario (Section 4.8).</t>
  </si>
  <si>
    <t xml:space="preserve">LB Low</t>
  </si>
  <si>
    <t xml:space="preserve">LB Central</t>
  </si>
  <si>
    <t xml:space="preserve">LB High</t>
  </si>
  <si>
    <t xml:space="preserve">MB Low</t>
  </si>
  <si>
    <t xml:space="preserve">MB Central</t>
  </si>
  <si>
    <t xml:space="preserve">MB High</t>
  </si>
  <si>
    <t xml:space="preserve">MB-lag Low</t>
  </si>
  <si>
    <t xml:space="preserve">MB-lag Central</t>
  </si>
  <si>
    <t xml:space="preserve">MB-lag High</t>
  </si>
  <si>
    <t xml:space="preserve">Table 1 — GPT-5.5 measured reasoning-mode multipliers: difficulty x length grid (medians, v2 fixed-task records, frozen corpus).</t>
  </si>
  <si>
    <t xml:space="preserve">Hard-short (100/300)</t>
  </si>
  <si>
    <t xml:space="preserve">Hard-medium (1k/1k)</t>
  </si>
  <si>
    <t xml:space="preserve">Hard-long (10k/1.5k)</t>
  </si>
  <si>
    <t xml:space="preserve">Easy floor (10k summarise)</t>
  </si>
  <si>
    <t xml:space="preserve">Heavy task k=36 (1k)</t>
  </si>
  <si>
    <t xml:space="preserve">Minimal</t>
  </si>
  <si>
    <t xml:space="preserve">Xhigh</t>
  </si>
  <si>
    <t xml:space="preserve">Hard-long cells carry small n (2-4): reported with that caveat. Heavy task (36-element puzzle, added 30 Jul) is the task-demand sensitivity: reported separately, NOT compounded into Table 8 bands.</t>
  </si>
  <si>
    <t xml:space="preserve">Table B1 — OpenAI TPS summary, daily medians pooled per calendar day, full campaign 24 Jun - 22 Aug 2026.</t>
  </si>
  <si>
    <t xml:space="preserve">Model variant</t>
  </si>
  <si>
    <t xml:space="preserve">Mean visible TPS (o200k, daily medians)</t>
  </si>
  <si>
    <t xml:space="preserve">SD</t>
  </si>
  <si>
    <t xml:space="preserve">Days (n)</t>
  </si>
  <si>
    <t xml:space="preserve">Mean SD across variants = 13.4. Variants with fewer than 8 collection days excluded (legacy gpt-5-mini/nano/5.1).</t>
  </si>
  <si>
    <t xml:space="preserve">Envelope log-factor report (Section 3.8 / after Table 8): ln(high/low) per factor, live formulas (v1.0.0). Larger = wider contribution. Total = sum; envelope ratio = exp(total).</t>
  </si>
  <si>
    <t xml:space="preserve">ln A span</t>
  </si>
  <si>
    <t xml:space="preserve">ln PQPC span</t>
  </si>
  <si>
    <t xml:space="preserve">ln P span</t>
  </si>
  <si>
    <t xml:space="preserve">ln T span</t>
  </si>
  <si>
    <t xml:space="preserve">ln R span</t>
  </si>
  <si>
    <t xml:space="preserve">Total log-width</t>
  </si>
  <si>
    <t xml:space="preserve">Envelope ratio (top/bottom)</t>
  </si>
  <si>
    <t xml:space="preserve">Means across GPT-5.x reasoning variants (Corpus mode &lt;&gt; None, PQPC class 5x):</t>
  </si>
  <si>
    <t xml:space="preserve">Medians across all 47 rows:</t>
  </si>
  <si>
    <t xml:space="preserve">Envelope ratio, median across GPT-5.x reasoning variants:</t>
  </si>
  <si>
    <t xml:space="preserve">Bootstrap bands (v1.0.0). T: anchor/model ratio of medians of daily-median TPS (10k workload), days resampled independently for anchor and model, B = 10,000, seed 20260822; bounds = 5th/95th percentile of the ratio divided by the point ratio. R: requests in the hard-task 1k cell (prompt_version 2, k = 12) resampled, B = 10,000; bounds = 5th/95th percentile of the cell median divided by the point median. Non-reasoning variants: R = 1, no band. Relative factors apply to the Corpus-sheet centrals.</t>
  </si>
  <si>
    <t xml:space="preserve">T_low (boot)</t>
  </si>
  <si>
    <t xml:space="preserve">T_high (boot)</t>
  </si>
  <si>
    <t xml:space="preserve">T_low (mean/(mean+SD) method, comparison only)</t>
  </si>
  <si>
    <t xml:space="preserve">T_high (mean ± SD method, comparison only)</t>
  </si>
  <si>
    <t xml:space="preserve">fraction of days outside mean±1SD</t>
  </si>
  <si>
    <t xml:space="preserve">R cell n</t>
  </si>
  <si>
    <t xml:space="preserve">R cell median</t>
  </si>
  <si>
    <t xml:space="preserve">R_low (boot)</t>
  </si>
  <si>
    <t xml:space="preserve">R_high (boot)</t>
  </si>
  <si>
    <t xml:space="preserve">R_low (floor/central, comparison only)</t>
  </si>
  <si>
    <t xml:space="preserve">R_high (short/central, comparison only)</t>
  </si>
  <si>
    <t xml:space="preserve">Mean fraction of days outside mean±1SD:</t>
  </si>
  <si>
    <t xml:space="preserve">T and R bands from corpus_summary.py (B = 10,000, seed 20260822). Rows 3-49 cover all 46 measured variants (&gt;= 8 collection days) plus the gpt-5.6-sol (max)* floor row.</t>
  </si>
  <si>
    <t xml:space="preserve">Pinching table — Table 11 (Ferson &amp; Ginzburg 1996): envelope top-to-bottom ratio with each factor collapsed to its central in turn. Narrowing = full ratio / pinched ratio. Rows link to Levers.</t>
  </si>
  <si>
    <t xml:space="preserve">Full envelope ratio</t>
  </si>
  <si>
    <t xml:space="preserve">Pinch A</t>
  </si>
  <si>
    <t xml:space="preserve">Pinch PQPC</t>
  </si>
  <si>
    <t xml:space="preserve">Pinch P</t>
  </si>
  <si>
    <t xml:space="preserve">Pinch T</t>
  </si>
  <si>
    <t xml:space="preserve">Pinch R</t>
  </si>
  <si>
    <t xml:space="preserve">Narrowing: A</t>
  </si>
  <si>
    <t xml:space="preserve">Narrowing: PQPC</t>
  </si>
  <si>
    <t xml:space="preserve">Narrowing: P</t>
  </si>
  <si>
    <t xml:space="preserve">Narrowing: T</t>
  </si>
  <si>
    <t xml:space="preserve">Narrowing: R</t>
  </si>
  <si>
    <t xml:space="preserve">Reasoning variant flag (1 = GPT-5.x with measured R; excluded: gpt-4o-mini and rows whose Corpus mode is None)</t>
  </si>
  <si>
    <t xml:space="preserve">Pinch A and PQPC together = EXP(total − ln A span − ln PQPC span)</t>
  </si>
  <si>
    <t xml:space="preserve">Staged: A + PQPC + T pinched = EXP(total − A − PQPC − T)</t>
  </si>
  <si>
    <t xml:space="preserve">Staged: + R pinched</t>
  </si>
  <si>
    <t xml:space="preserve">Staged: + P pinched (= 1 by construction)</t>
  </si>
  <si>
    <t xml:space="preserve">Median across GPT-5.x reasoning variants (rows flagged 1 in column N; live formulas, v1.0.0):</t>
  </si>
  <si>
    <t xml:space="preserve">Anchor and PQPC collapsed together (median / min / max across the same rows; column O):</t>
  </si>
  <si>
    <t xml:space="preserve">Full envelope across the same rows: min / median / mean / max:</t>
  </si>
  <si>
    <t xml:space="preserve">Staged pinch medians (Table 11 lower rows): A+PQPC+T / +R / +P; narrowing = full median ÷ pinched median:</t>
  </si>
  <si>
    <t xml:space="preserve">RatioEnvelopes — how a within-family comparison is derived, and why it is far tighter than the absolute envelopes. Every column except J, L and M is a live formula; J, L and M come from the bootstrap in corpus_summary.py (B = 10,000, seed 20260823). See the notes below the table.</t>
  </si>
  <si>
    <t xml:space="preserve">Comparison</t>
  </si>
  <si>
    <t xml:space="preserve">Numerator</t>
  </si>
  <si>
    <t xml:space="preserve">Denominator</t>
  </si>
  <si>
    <t xml:space="preserve">TPS, numerator (Corpus P50)</t>
  </si>
  <si>
    <t xml:space="preserve">TPS, denominator (Corpus P50)</t>
  </si>
  <si>
    <t xml:space="preserve">R, numerator</t>
  </si>
  <si>
    <t xml:space="preserve">R, denominator</t>
  </si>
  <si>
    <t xml:space="preserve">Ratio central = (R_num/R_den) x (TPS_den/TPS_num)</t>
  </si>
  <si>
    <t xml:space="preserve">Check: ratio of the Table 7 location-based figures</t>
  </si>
  <si>
    <t xml:space="preserve">Ratio central, deposited (corpus_summary.py, unrounded)</t>
  </si>
  <si>
    <t xml:space="preserve">Deposited vs workbook chain</t>
  </si>
  <si>
    <t xml:space="preserve">Ratio low (5th percentile)</t>
  </si>
  <si>
    <t xml:space="preserve">Ratio high (95th percentile)</t>
  </si>
  <si>
    <t xml:space="preserve">Low as a factor on the central</t>
  </si>
  <si>
    <t xml:space="preserve">High as a factor on the central</t>
  </si>
  <si>
    <t xml:space="preserve">Table 8 LB low, numerator</t>
  </si>
  <si>
    <t xml:space="preserve">Table 8 LB high, numerator</t>
  </si>
  <si>
    <t xml:space="preserve">Table 8 LB low, denominator</t>
  </si>
  <si>
    <t xml:space="preserve">Table 8 LB high, denominator</t>
  </si>
  <si>
    <t xml:space="preserve">Marginal reading, low = P/S</t>
  </si>
  <si>
    <t xml:space="preserve">Marginal reading, high = Q/R</t>
  </si>
  <si>
    <t xml:space="preserve">Model switch, fixed setting</t>
  </si>
  <si>
    <t xml:space="preserve">Effort dial, same model</t>
  </si>
  <si>
    <t xml:space="preserve">Notes</t>
  </si>
  <si>
    <t xml:space="preserve">1. What the ratio is.</t>
  </si>
  <si>
    <t xml:space="preserve">Each row divides one variant’s per-token emissions by another’s. Table 6 builds every variant from the same chain: anchor Wh/1,000 tokens × TPS adjustment × PUE × PQPC × reasoning multiplier, then Table 7 multiplies by grid intensity. Within the GPT-5.x family the anchor (1.9233 Wh/1,000 tokens), the PUE (1.05), the PQPC (2.99) and the grid intensity are identical on both sides, so they cancel exactly and only the two measured terms survive.</t>
  </si>
  <si>
    <t xml:space="preserve">2. The formula (column H).</t>
  </si>
  <si>
    <t xml:space="preserve">ratio = (R_numerator / R_denominator) × (TPS_denominator / TPS_numerator). Energy per token is inversely proportional to throughput and directly proportional to the reasoning multiplier, so throughput enters inverted. Worked example, row 3: (1.44 / 1.60) × (129.90 / 52.91) = 2.21. Column I is the independent check – the same ratio taken from the finished Table 7 gCO₂e figures – and must equal column H to the last digit.</t>
  </si>
  <si>
    <t xml:space="preserve">3. The envelope (columns L and M).</t>
  </si>
  <si>
    <t xml:space="preserve">A joint bootstrap of the two measured terms in corpus_summary.py (B = 10,000 resamples, seed 20260823). One resample draws, for each side independently: the variant’s collection days with replacement, taking the median of the daily-median TPS; and the central reasoning cell’s requests with replacement, taking the median multiplier. The ratio is formed from those four draws. The 5th and 95th percentiles of the 10,000 ratios, expressed as factors on the point ratio (columns N and O), give the bounds. The anchor, PUE, PQPC and grid intensity are not resampled, because they cancel; sample size therefore enters through the resampling, which is why the thinnest cell (gpt-5.4-mini xhigh, n = 26) gives the widest row.</t>
  </si>
  <si>
    <t xml:space="preserve">4. The marginal reading (columns T and U).</t>
  </si>
  <si>
    <t xml:space="preserve">What a reader would get by combining the absolute bounds of Table 8 instead: low = numerator’s low ÷ denominator’s high, high = numerator’s high ÷ denominator’s low (columns P–S are the Table 8 location-based bounds for the two variants). This treats factors that are identical on both sides as though they could vary independently, and is wrong by roughly two orders of magnitude. It is shown to make that point, not as a result.</t>
  </si>
  <si>
    <t xml:space="preserve">5. Column K — difference from the workbook chain.</t>
  </si>
  <si>
    <t xml:space="preserve">Column J is the deposited figure, computed from the raw records at full precision; column H is rebuilt from the Corpus sheet, which stores TPS and R rounded to two decimals. That rounding accounts for differences below about 0.5%.</t>
  </si>
  <si>
    <t xml:space="preserve">6. Labels.</t>
  </si>
  <si>
    <t xml:space="preserve">The baseline of the gpt-5.4 effort-dial row is named “gpt-5.4 (non-reasoning)” in Tables 6 – 8 and “gpt-5.4 (minimal)” in ratios.csv. They are the same variant. The Tables 6 – 8 name is used here so the lookups resolve.</t>
  </si>
  <si>
    <t xml:space="preserve">7. Provenance.</t>
  </si>
  <si>
    <t xml:space="preserve">Formulas: this sheet. Bootstrap: corpus_summary.py against the frozen corpus (14,317 ok records, 46 variants), written to ratios.csv. Both are in the deposit.</t>
  </si>
  <si>
    <t xml:space="preserve">ShapeCorrection — Appendix D.5.8 (v1.0.0). Two-point fits E = a·N_in + b·N_out to Jegham et al. [15] v6 short (100/300) and long (10,000/1,500) prompts; shape factor S. Typed values are inputs; every other number is a formula.</t>
  </si>
  <si>
    <t xml:space="preserve">GPT-4o-mini (anchor)</t>
  </si>
  <si>
    <t xml:space="preserve">GPT-4o</t>
  </si>
  <si>
    <t xml:space="preserve">Short prompt Wh (100 in / 300 out) [15]</t>
  </si>
  <si>
    <t xml:space="preserve">Long prompt Wh (10,000 in / 1,500 out) [15]</t>
  </si>
  <si>
    <t xml:space="preserve">a = Wh per 1,000 input tokens</t>
  </si>
  <si>
    <t xml:space="preserve">b = Wh per 1,000 output tokens</t>
  </si>
  <si>
    <t xml:space="preserve">ρ = a / b</t>
  </si>
  <si>
    <t xml:space="preserve">Prefill share of the short-prompt query</t>
  </si>
  <si>
    <t xml:space="preserve">Derivation: a·100 + b·300 = short; a·10,000 + b·1,500 = long  ⇒  a = (long − 5·short)/9,500 per token.</t>
  </si>
  <si>
    <t xml:space="preserve">Shape factor S = (1 + ρ·N_in/(R·N_out)) / (1 + ρ/3)</t>
  </si>
  <si>
    <t xml:space="preserve">Case</t>
  </si>
  <si>
    <t xml:space="preserve">N_in</t>
  </si>
  <si>
    <t xml:space="preserve">N_out</t>
  </si>
  <si>
    <t xml:space="preserve">R</t>
  </si>
  <si>
    <t xml:space="preserve">S (ρ anchor)</t>
  </si>
  <si>
    <t xml:space="preserve">S (ρ GPT-4o)</t>
  </si>
  <si>
    <t xml:space="preserve">Anchor shape</t>
  </si>
  <si>
    <t xml:space="preserve">Reasoning central shape</t>
  </si>
  <si>
    <t xml:space="preserve">Jegham long prompt</t>
  </si>
  <si>
    <t xml:space="preserve">Long-context turn, sol high (Table 9 last row)</t>
  </si>
  <si>
    <t xml:space="preserve">Table 9 last row (sol high × 1,000 out × S anchor)</t>
  </si>
  <si>
    <t xml:space="preserve">LB low</t>
  </si>
  <si>
    <t xml:space="preserve">LB central</t>
  </si>
  <si>
    <t xml:space="preserve">LB high</t>
  </si>
  <si>
    <t xml:space="preserve">MB low</t>
  </si>
  <si>
    <t xml:space="preserve">MB central</t>
  </si>
  <si>
    <t xml:space="preserve">MB high</t>
  </si>
  <si>
    <t xml:space="preserve">gCO2e per query</t>
  </si>
  <si>
    <t xml:space="preserve">Reasoning-variant overstatement bound ρ(R−1)/(3R) at R = 12.49 (gpt-5.4-mini xhigh)</t>
  </si>
</sst>
</file>

<file path=xl/styles.xml><?xml version="1.0" encoding="utf-8"?>
<styleSheet xmlns="http://schemas.openxmlformats.org/spreadsheetml/2006/main">
  <numFmts count="11">
    <numFmt numFmtId="164" formatCode="General"/>
    <numFmt numFmtId="165" formatCode="0.000"/>
    <numFmt numFmtId="166" formatCode="0.0"/>
    <numFmt numFmtId="167" formatCode="0.00"/>
    <numFmt numFmtId="168" formatCode="0.0000"/>
    <numFmt numFmtId="169" formatCode="#,##0"/>
    <numFmt numFmtId="170" formatCode="0.0%"/>
    <numFmt numFmtId="171" formatCode="0"/>
    <numFmt numFmtId="172" formatCode="0%"/>
    <numFmt numFmtId="173" formatCode="#,##0.00"/>
    <numFmt numFmtId="174" formatCode="0.00%"/>
  </numFmts>
  <fonts count="5">
    <font>
      <sz val="11"/>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3" fontId="0"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 min="1" style="1" width="42"/>
    <col collapsed="false" customWidth="true" hidden="false" outlineLevel="0" max="2" min="2" style="1" width="12"/>
    <col collapsed="false" customWidth="true" hidden="false" outlineLevel="0" max="3" min="3" style="1" width="8.71"/>
    <col collapsed="false" customWidth="true" hidden="false" outlineLevel="0" max="4" min="4" style="1" width="75"/>
    <col collapsed="false" customWidth="true" hidden="false" outlineLevel="0" max="6" min="5" style="1" width="8.71"/>
  </cols>
  <sheetData>
    <row r="1" s="1" customFormat="true" ht="15" hidden="false" customHeight="true" outlineLevel="0" collapsed="false">
      <c r="A1" s="2" t="s">
        <v>0</v>
      </c>
    </row>
    <row r="2" s="1" customFormat="true" ht="15" hidden="false" customHeight="true" outlineLevel="0" collapsed="false"/>
    <row r="3" s="1" customFormat="true" ht="15" hidden="false" customHeight="true" outlineLevel="0" collapsed="false">
      <c r="A3" s="1" t="s">
        <v>1</v>
      </c>
      <c r="B3" s="3" t="n">
        <v>0.577</v>
      </c>
      <c r="D3" s="1" t="s">
        <v>2</v>
      </c>
    </row>
    <row r="4" s="1" customFormat="true" ht="15" hidden="false" customHeight="true" outlineLevel="0" collapsed="false">
      <c r="A4" s="1" t="s">
        <v>3</v>
      </c>
      <c r="B4" s="3" t="n">
        <f aca="false">1000/300</f>
        <v>3.33333333333333</v>
      </c>
      <c r="D4" s="1" t="s">
        <v>4</v>
      </c>
    </row>
    <row r="5" s="1" customFormat="true" ht="15" hidden="false" customHeight="true" outlineLevel="0" collapsed="false">
      <c r="A5" s="1" t="s">
        <v>5</v>
      </c>
      <c r="B5" s="4" t="n">
        <v>78.3</v>
      </c>
      <c r="D5" s="1" t="s">
        <v>6</v>
      </c>
    </row>
    <row r="6" s="1" customFormat="true" ht="15" hidden="false" customHeight="true" outlineLevel="0" collapsed="false">
      <c r="A6" s="1" t="s">
        <v>7</v>
      </c>
      <c r="B6" s="5" t="n">
        <v>1.05</v>
      </c>
      <c r="D6" s="1" t="s">
        <v>8</v>
      </c>
    </row>
    <row r="7" s="1" customFormat="true" ht="15" hidden="false" customHeight="true" outlineLevel="0" collapsed="false">
      <c r="A7" s="1" t="s">
        <v>9</v>
      </c>
      <c r="B7" s="5" t="n">
        <v>2.99</v>
      </c>
      <c r="D7" s="1" t="s">
        <v>10</v>
      </c>
    </row>
    <row r="8" s="1" customFormat="true" ht="15" hidden="false" customHeight="true" outlineLevel="0" collapsed="false">
      <c r="A8" s="1" t="s">
        <v>11</v>
      </c>
      <c r="B8" s="5" t="n">
        <v>1</v>
      </c>
      <c r="D8" s="1" t="s">
        <v>12</v>
      </c>
    </row>
    <row r="9" s="1" customFormat="true" ht="15" hidden="false" customHeight="true" outlineLevel="0" collapsed="false">
      <c r="A9" s="1" t="s">
        <v>13</v>
      </c>
      <c r="B9" s="3" t="n">
        <v>0.353</v>
      </c>
      <c r="D9" s="1" t="s">
        <v>14</v>
      </c>
    </row>
    <row r="10" s="1" customFormat="true" ht="15" hidden="false" customHeight="true" outlineLevel="0" collapsed="false">
      <c r="A10" s="1" t="s">
        <v>15</v>
      </c>
      <c r="B10" s="6" t="n">
        <f aca="false">ROUND(GridIntensity!F20,1)/1000</f>
        <v>0.0516</v>
      </c>
      <c r="D10" s="1" t="s">
        <v>16</v>
      </c>
    </row>
    <row r="11" s="1" customFormat="true" ht="15" hidden="false" customHeight="true" outlineLevel="0" collapsed="false">
      <c r="A11" s="1" t="s">
        <v>17</v>
      </c>
      <c r="B11" s="5" t="n">
        <v>0.43</v>
      </c>
      <c r="D11" s="1" t="s">
        <v>18</v>
      </c>
    </row>
    <row r="12" s="1" customFormat="true" ht="15" hidden="false" customHeight="true" outlineLevel="0" collapsed="false">
      <c r="A12" s="1" t="s">
        <v>19</v>
      </c>
      <c r="B12" s="5" t="n">
        <v>1.2</v>
      </c>
      <c r="D12" s="1" t="s">
        <v>20</v>
      </c>
    </row>
    <row r="13" s="1" customFormat="true" ht="15" hidden="false" customHeight="true" outlineLevel="0" collapsed="false">
      <c r="A13" s="1" t="s">
        <v>21</v>
      </c>
      <c r="B13" s="5" t="n">
        <v>0.53</v>
      </c>
      <c r="D13" s="1" t="s">
        <v>22</v>
      </c>
    </row>
    <row r="14" s="1" customFormat="true" ht="15" hidden="false" customHeight="true" outlineLevel="0" collapsed="false">
      <c r="A14" s="1" t="s">
        <v>23</v>
      </c>
      <c r="B14" s="5" t="n">
        <v>1.48</v>
      </c>
      <c r="D14" s="1" t="s">
        <v>22</v>
      </c>
    </row>
    <row r="15" s="1" customFormat="true" ht="15" hidden="false" customHeight="true" outlineLevel="0" collapsed="false">
      <c r="A15" s="1" t="s">
        <v>24</v>
      </c>
      <c r="B15" s="5" t="n">
        <v>0.95</v>
      </c>
      <c r="D15" s="1" t="s">
        <v>25</v>
      </c>
    </row>
    <row r="16" s="1" customFormat="true" ht="15" hidden="false" customHeight="true" outlineLevel="0" collapsed="false">
      <c r="A16" s="1" t="s">
        <v>26</v>
      </c>
      <c r="B16" s="5" t="n">
        <v>1.03</v>
      </c>
      <c r="D16" s="1" t="s">
        <v>25</v>
      </c>
    </row>
    <row r="17" s="1" customFormat="true" ht="15" hidden="false" customHeight="true" outlineLevel="0" collapsed="false">
      <c r="A17" s="1" t="s">
        <v>27</v>
      </c>
      <c r="B17" s="5" t="n">
        <f aca="false">B11*B13*B15</f>
        <v>0.216505</v>
      </c>
      <c r="D17" s="1" t="s">
        <v>28</v>
      </c>
    </row>
    <row r="18" s="1" customFormat="true" ht="15" hidden="false" customHeight="true" outlineLevel="0" collapsed="false">
      <c r="A18" s="1" t="s">
        <v>29</v>
      </c>
      <c r="B18" s="5" t="n">
        <f aca="false">B12*B14*B16</f>
        <v>1.82928</v>
      </c>
      <c r="D18" s="1" t="s">
        <v>30</v>
      </c>
    </row>
    <row r="19" s="1" customFormat="true" ht="15" hidden="false" customHeight="true" outlineLevel="0" collapsed="false">
      <c r="A19" s="1" t="s">
        <v>31</v>
      </c>
      <c r="B19" s="5" t="n">
        <f aca="false">B11*1*B15</f>
        <v>0.4085</v>
      </c>
      <c r="D19" s="1" t="s">
        <v>32</v>
      </c>
    </row>
    <row r="20" s="1" customFormat="true" ht="15" hidden="false" customHeight="true" outlineLevel="0" collapsed="false">
      <c r="A20" s="1" t="s">
        <v>33</v>
      </c>
      <c r="B20" s="5" t="n">
        <f aca="false">B12*1*B16</f>
        <v>1.236</v>
      </c>
      <c r="D20" s="1" t="s">
        <v>34</v>
      </c>
    </row>
    <row r="21" s="1" customFormat="true" ht="15.75" hidden="false" customHeight="true" outlineLevel="0" collapsed="false">
      <c r="A21" s="1" t="s">
        <v>35</v>
      </c>
      <c r="B21" s="6" t="n">
        <f aca="false">ROUND(GridIntensity!G30,1)/1000</f>
        <v>0.1589</v>
      </c>
      <c r="D21" s="1" t="s">
        <v>36</v>
      </c>
    </row>
    <row r="22" s="1" customFormat="true" ht="15.75" hidden="false" customHeight="true" outlineLevel="0" collapsed="false">
      <c r="A22" s="1"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 min="1" style="1" width="46"/>
    <col collapsed="false" customWidth="true" hidden="false" outlineLevel="0" max="7" min="2" style="1" width="18"/>
    <col collapsed="false" customWidth="true" hidden="false" outlineLevel="0" max="8" min="8" style="1" width="8.71"/>
  </cols>
  <sheetData>
    <row r="1" s="1" customFormat="true" ht="15" hidden="false" customHeight="true" outlineLevel="0" collapsed="false">
      <c r="A1" s="2" t="s">
        <v>38</v>
      </c>
    </row>
    <row r="2" s="1" customFormat="true" ht="15" hidden="false" customHeight="true" outlineLevel="0" collapsed="false"/>
    <row r="3" s="1" customFormat="true" ht="15" hidden="false" customHeight="true" outlineLevel="0" collapsed="false">
      <c r="A3" s="2" t="s">
        <v>39</v>
      </c>
    </row>
    <row r="4" s="1" customFormat="true" ht="15" hidden="false" customHeight="true" outlineLevel="0" collapsed="false">
      <c r="A4" s="1" t="s">
        <v>40</v>
      </c>
      <c r="B4" s="7" t="n">
        <v>2815000</v>
      </c>
      <c r="D4" s="1" t="s">
        <v>41</v>
      </c>
    </row>
    <row r="5" s="1" customFormat="true" ht="15" hidden="false" customHeight="true" outlineLevel="0" collapsed="false">
      <c r="A5" s="1" t="s">
        <v>42</v>
      </c>
      <c r="B5" s="7" t="n">
        <v>15148700</v>
      </c>
      <c r="D5" s="1" t="s">
        <v>43</v>
      </c>
    </row>
    <row r="6" s="1" customFormat="true" ht="15" hidden="false" customHeight="true" outlineLevel="0" collapsed="false">
      <c r="A6" s="1" t="s">
        <v>44</v>
      </c>
      <c r="B6" s="7" t="n">
        <v>43586600</v>
      </c>
      <c r="D6" s="1" t="s">
        <v>45</v>
      </c>
    </row>
    <row r="7" s="1" customFormat="true" ht="15" hidden="false" customHeight="true" outlineLevel="0" collapsed="false">
      <c r="A7" s="1" t="s">
        <v>46</v>
      </c>
      <c r="B7" s="7" t="n">
        <v>2898600</v>
      </c>
      <c r="D7" s="1" t="s">
        <v>43</v>
      </c>
    </row>
    <row r="8" s="1" customFormat="true" ht="15" hidden="false" customHeight="true" outlineLevel="0" collapsed="false">
      <c r="A8" s="1" t="s">
        <v>47</v>
      </c>
      <c r="B8" s="7" t="n">
        <v>31713900</v>
      </c>
      <c r="D8" s="1" t="s">
        <v>48</v>
      </c>
    </row>
    <row r="9" s="1" customFormat="true" ht="15" hidden="false" customHeight="true" outlineLevel="0" collapsed="false">
      <c r="A9" s="1" t="s">
        <v>49</v>
      </c>
      <c r="B9" s="7" t="n">
        <v>65</v>
      </c>
      <c r="D9" s="1" t="s">
        <v>50</v>
      </c>
    </row>
    <row r="10" s="1" customFormat="true" ht="15" hidden="false" customHeight="true" outlineLevel="0" collapsed="false">
      <c r="A10" s="1" t="s">
        <v>51</v>
      </c>
      <c r="B10" s="4" t="n">
        <f aca="false">B4/B6*1000</f>
        <v>64.5840694158297</v>
      </c>
      <c r="D10" s="1" t="s">
        <v>52</v>
      </c>
    </row>
    <row r="11" s="1" customFormat="true" ht="15" hidden="false" customHeight="true" outlineLevel="0" collapsed="false">
      <c r="A11" s="1" t="s">
        <v>53</v>
      </c>
      <c r="B11" s="4" t="n">
        <f aca="false">B5/B6*1000</f>
        <v>347.554064781378</v>
      </c>
      <c r="D11" s="1" t="s">
        <v>54</v>
      </c>
    </row>
    <row r="12" s="1" customFormat="true" ht="15" hidden="false" customHeight="true" outlineLevel="0" collapsed="false">
      <c r="A12" s="1" t="s">
        <v>55</v>
      </c>
      <c r="B12" s="4" t="n">
        <f aca="false">B7/B8*1000</f>
        <v>91.3984088995677</v>
      </c>
      <c r="D12" s="1" t="s">
        <v>56</v>
      </c>
    </row>
    <row r="13" s="1" customFormat="true" ht="15" hidden="false" customHeight="true" outlineLevel="0" collapsed="false"/>
    <row r="14" s="1" customFormat="true" ht="15" hidden="false" customHeight="true" outlineLevel="0" collapsed="false">
      <c r="A14" s="2" t="s">
        <v>57</v>
      </c>
    </row>
    <row r="15" s="1" customFormat="true" ht="15" hidden="false" customHeight="true" outlineLevel="0" collapsed="false">
      <c r="A15" s="2" t="s">
        <v>58</v>
      </c>
      <c r="B15" s="2" t="s">
        <v>59</v>
      </c>
      <c r="C15" s="2" t="s">
        <v>60</v>
      </c>
      <c r="D15" s="2" t="s">
        <v>61</v>
      </c>
      <c r="E15" s="2" t="s">
        <v>62</v>
      </c>
      <c r="F15" s="2" t="s">
        <v>63</v>
      </c>
      <c r="G15" s="2" t="s">
        <v>64</v>
      </c>
    </row>
    <row r="16" s="1" customFormat="true" ht="15" hidden="false" customHeight="true" outlineLevel="0" collapsed="false">
      <c r="A16" s="1" t="s">
        <v>65</v>
      </c>
      <c r="B16" s="8" t="n">
        <v>0.234</v>
      </c>
      <c r="C16" s="9" t="n">
        <v>447</v>
      </c>
      <c r="D16" s="4" t="n">
        <f aca="false">B16*C16</f>
        <v>104.598</v>
      </c>
      <c r="E16" s="4" t="n">
        <v>73</v>
      </c>
      <c r="F16" s="4" t="n">
        <f aca="false">B16*E16</f>
        <v>17.082</v>
      </c>
      <c r="G16" s="1" t="s">
        <v>66</v>
      </c>
    </row>
    <row r="17" s="1" customFormat="true" ht="15" hidden="false" customHeight="true" outlineLevel="0" collapsed="false">
      <c r="A17" s="1" t="s">
        <v>67</v>
      </c>
      <c r="B17" s="8" t="n">
        <v>0.393</v>
      </c>
      <c r="C17" s="9" t="n">
        <v>319</v>
      </c>
      <c r="D17" s="4" t="n">
        <f aca="false">B17*C17</f>
        <v>125.367</v>
      </c>
      <c r="E17" s="4" t="n">
        <v>46</v>
      </c>
      <c r="F17" s="4" t="n">
        <f aca="false">B17*E17</f>
        <v>18.078</v>
      </c>
      <c r="G17" s="1" t="s">
        <v>68</v>
      </c>
    </row>
    <row r="18" s="1" customFormat="true" ht="15" hidden="false" customHeight="true" outlineLevel="0" collapsed="false">
      <c r="A18" s="1" t="s">
        <v>69</v>
      </c>
      <c r="B18" s="8" t="n">
        <v>0.117</v>
      </c>
      <c r="C18" s="9" t="n">
        <v>319</v>
      </c>
      <c r="D18" s="4" t="n">
        <f aca="false">B18*C18</f>
        <v>37.323</v>
      </c>
      <c r="E18" s="4" t="n">
        <v>0</v>
      </c>
      <c r="F18" s="4" t="n">
        <f aca="false">B18*E18</f>
        <v>0</v>
      </c>
      <c r="G18" s="1" t="s">
        <v>70</v>
      </c>
    </row>
    <row r="19" s="1" customFormat="true" ht="15" hidden="false" customHeight="true" outlineLevel="0" collapsed="false">
      <c r="A19" s="1" t="s">
        <v>71</v>
      </c>
      <c r="B19" s="8" t="n">
        <v>0.255</v>
      </c>
      <c r="C19" s="9" t="n">
        <v>335</v>
      </c>
      <c r="D19" s="4" t="n">
        <f aca="false">B19*C19</f>
        <v>85.425</v>
      </c>
      <c r="E19" s="4" t="n">
        <f aca="false">B10</f>
        <v>64.5840694158297</v>
      </c>
      <c r="F19" s="4" t="n">
        <f aca="false">B19*E19</f>
        <v>16.4689377010366</v>
      </c>
      <c r="G19" s="1" t="s">
        <v>72</v>
      </c>
    </row>
    <row r="20" s="1" customFormat="true" ht="15" hidden="false" customHeight="true" outlineLevel="0" collapsed="false">
      <c r="A20" s="2" t="s">
        <v>73</v>
      </c>
      <c r="B20" s="8" t="n">
        <f aca="false">SUM(B16:B19)</f>
        <v>0.999</v>
      </c>
      <c r="D20" s="4" t="n">
        <f aca="false">SUM(D16:D19)</f>
        <v>352.713</v>
      </c>
      <c r="F20" s="4" t="n">
        <f aca="false">SUM(F16:F19)</f>
        <v>51.6289377010366</v>
      </c>
      <c r="G20" s="1" t="s">
        <v>74</v>
      </c>
    </row>
    <row r="21" s="1" customFormat="true" ht="15.75" hidden="false" customHeight="true" outlineLevel="0" collapsed="false">
      <c r="A21" s="1" t="s">
        <v>75</v>
      </c>
      <c r="B21" s="10" t="n">
        <f aca="false">1-F20/D20</f>
        <v>0.853623377360527</v>
      </c>
    </row>
    <row r="22" s="1" customFormat="true" ht="15.75" hidden="false" customHeight="true" outlineLevel="0" collapsed="false">
      <c r="A22" s="1" t="s">
        <v>76</v>
      </c>
      <c r="B22" s="10" t="n">
        <f aca="false">F19/F20</f>
        <v>0.31898656905168</v>
      </c>
    </row>
    <row r="23" s="1" customFormat="true" ht="15.75" hidden="false" customHeight="true" outlineLevel="0" collapsed="false">
      <c r="A23" s="1" t="s">
        <v>77</v>
      </c>
      <c r="B23" s="10" t="n">
        <f aca="false">F17/F20</f>
        <v>0.35015246884766</v>
      </c>
    </row>
    <row r="24" s="1" customFormat="true" ht="15.75" hidden="false" customHeight="true" outlineLevel="0" collapsed="false">
      <c r="A24" s="1" t="s">
        <v>78</v>
      </c>
      <c r="B24" s="5" t="n">
        <f aca="false">E19/C19</f>
        <v>0.192788266912924</v>
      </c>
    </row>
    <row r="25" s="1" customFormat="true" ht="15.75" hidden="false" customHeight="true" outlineLevel="0" collapsed="false"/>
    <row r="26" s="1" customFormat="true" ht="15.75" hidden="false" customHeight="true" outlineLevel="0" collapsed="false">
      <c r="A26" s="2" t="s">
        <v>79</v>
      </c>
    </row>
    <row r="27" s="1" customFormat="true" ht="15.75" hidden="false" customHeight="true" outlineLevel="0" collapsed="false">
      <c r="A27" s="2" t="s">
        <v>80</v>
      </c>
      <c r="B27" s="2" t="s">
        <v>81</v>
      </c>
      <c r="C27" s="2" t="s">
        <v>67</v>
      </c>
      <c r="D27" s="2" t="s">
        <v>82</v>
      </c>
      <c r="E27" s="2" t="s">
        <v>83</v>
      </c>
      <c r="F27" s="2" t="s">
        <v>84</v>
      </c>
      <c r="G27" s="2" t="s">
        <v>85</v>
      </c>
    </row>
    <row r="28" s="1" customFormat="true" ht="15.75" hidden="false" customHeight="true" outlineLevel="0" collapsed="false">
      <c r="A28" s="1" t="s">
        <v>86</v>
      </c>
      <c r="B28" s="8" t="n">
        <v>0.7</v>
      </c>
      <c r="C28" s="8" t="n">
        <v>0.1</v>
      </c>
      <c r="D28" s="8" t="n">
        <v>0.05</v>
      </c>
      <c r="E28" s="8" t="n">
        <v>0.15</v>
      </c>
      <c r="F28" s="9" t="n">
        <f aca="false">B28*$C$16+C28*$C$17+D28*$C$18+E28*$C$19</f>
        <v>411</v>
      </c>
      <c r="G28" s="9" t="n">
        <f aca="false">B28*$E$16+C28*$E$17+D28*$E$18+E28*$E$19</f>
        <v>65.3876104123744</v>
      </c>
    </row>
    <row r="29" s="1" customFormat="true" ht="15.75" hidden="false" customHeight="true" outlineLevel="0" collapsed="false">
      <c r="A29" s="1" t="s">
        <v>87</v>
      </c>
      <c r="B29" s="8" t="n">
        <f aca="false">B16</f>
        <v>0.234</v>
      </c>
      <c r="C29" s="8" t="n">
        <f aca="false">B17</f>
        <v>0.393</v>
      </c>
      <c r="D29" s="8" t="n">
        <f aca="false">B18</f>
        <v>0.117</v>
      </c>
      <c r="E29" s="8" t="n">
        <f aca="false">B19</f>
        <v>0.255</v>
      </c>
      <c r="F29" s="9" t="n">
        <f aca="false">B29*$C$16+C29*$C$17+D29*$C$18+E29*$C$19</f>
        <v>352.713</v>
      </c>
      <c r="G29" s="9" t="n">
        <f aca="false">B29*$E$16+C29*$E$17+D29*$E$18+E29*$E$19</f>
        <v>51.6289377010366</v>
      </c>
    </row>
    <row r="30" s="1" customFormat="true" ht="15.75" hidden="false" customHeight="true" outlineLevel="0" collapsed="false">
      <c r="A30" s="1" t="s">
        <v>88</v>
      </c>
      <c r="B30" s="8" t="n">
        <f aca="false">B16</f>
        <v>0.234</v>
      </c>
      <c r="C30" s="8" t="n">
        <f aca="false">B17</f>
        <v>0.393</v>
      </c>
      <c r="D30" s="8" t="n">
        <f aca="false">B18</f>
        <v>0.117</v>
      </c>
      <c r="E30" s="8" t="n">
        <f aca="false">B19</f>
        <v>0.255</v>
      </c>
      <c r="F30" s="9" t="n">
        <f aca="false">B30*$C$16+C30*$C$17+D30*$C$18+E30*$C$19</f>
        <v>352.713</v>
      </c>
      <c r="G30" s="9" t="n">
        <f aca="false">B30*$E$16+C30*$C$17+D30*$E$18+E30*$E$19</f>
        <v>158.917937701037</v>
      </c>
    </row>
    <row r="31" s="1" customFormat="true" ht="15.75" hidden="false" customHeight="true" outlineLevel="0" collapsed="false">
      <c r="A31" s="1" t="s">
        <v>89</v>
      </c>
      <c r="B31" s="8" t="n">
        <v>0.15</v>
      </c>
      <c r="C31" s="8" t="n">
        <v>0.7</v>
      </c>
      <c r="D31" s="8" t="n">
        <v>0.05</v>
      </c>
      <c r="E31" s="8" t="n">
        <v>0.1</v>
      </c>
      <c r="F31" s="9" t="n">
        <f aca="false">B31*$C$16+C31*$C$17+D31*$C$18+E31*$C$19</f>
        <v>339.8</v>
      </c>
      <c r="G31" s="9" t="n">
        <f aca="false">B31*$E$16+C31*$E$17+D31*$E$18+E31*$E$19</f>
        <v>49.608406941583</v>
      </c>
    </row>
    <row r="32" s="1" customFormat="true" ht="15.75" hidden="false" customHeight="true" outlineLevel="0" collapsed="false"/>
    <row r="33" s="1" customFormat="true" ht="15.75" hidden="false" customHeight="true" outlineLevel="0" collapsed="false">
      <c r="A33" s="1" t="s">
        <v>90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2" min="1" style="1" width="26"/>
    <col collapsed="false" customWidth="true" hidden="false" outlineLevel="0" max="3" min="3" style="1" width="14"/>
    <col collapsed="false" customWidth="true" hidden="false" outlineLevel="0" max="4" min="4" style="1" width="7"/>
    <col collapsed="false" customWidth="true" hidden="false" outlineLevel="0" max="6" min="5" style="1" width="18"/>
    <col collapsed="false" customWidth="true" hidden="false" outlineLevel="0" max="7" min="7" style="1" width="6"/>
    <col collapsed="false" customWidth="true" hidden="false" outlineLevel="0" max="8" min="8" style="1" width="14"/>
    <col collapsed="false" customWidth="true" hidden="false" outlineLevel="0" max="9" min="9" style="1" width="5"/>
    <col collapsed="false" customWidth="true" hidden="false" outlineLevel="0" max="10" min="10" style="1" width="16"/>
    <col collapsed="false" customWidth="true" hidden="false" outlineLevel="0" max="11" min="11" style="1" width="5"/>
    <col collapsed="false" customWidth="true" hidden="false" outlineLevel="0" max="12" min="12" style="1" width="14"/>
    <col collapsed="false" customWidth="true" hidden="false" outlineLevel="0" max="13" min="13" style="1" width="5"/>
    <col collapsed="false" customWidth="true" hidden="false" outlineLevel="0" max="14" min="14" style="1" width="14"/>
    <col collapsed="false" customWidth="true" hidden="false" outlineLevel="0" max="15" min="15" style="1" width="13"/>
    <col collapsed="false" customWidth="true" hidden="false" outlineLevel="0" max="16" min="16" style="1" width="5"/>
    <col collapsed="false" customWidth="true" hidden="false" outlineLevel="0" max="17" min="17" style="1" width="18"/>
    <col collapsed="false" customWidth="true" hidden="false" outlineLevel="0" max="18" min="18" style="1" width="10"/>
  </cols>
  <sheetData>
    <row r="1" s="1" customFormat="true" ht="15" hidden="false" customHeight="true" outlineLevel="0" collapsed="false">
      <c r="A1" s="2" t="s">
        <v>91</v>
      </c>
    </row>
    <row r="2" s="1" customFormat="true" ht="15" hidden="false" customHeight="true" outlineLevel="0" collapsed="false">
      <c r="A2" s="2" t="s">
        <v>92</v>
      </c>
      <c r="B2" s="2" t="s">
        <v>93</v>
      </c>
      <c r="C2" s="2" t="s">
        <v>94</v>
      </c>
      <c r="D2" s="2" t="s">
        <v>95</v>
      </c>
      <c r="E2" s="2" t="s">
        <v>96</v>
      </c>
      <c r="F2" s="2" t="s">
        <v>97</v>
      </c>
      <c r="G2" s="2" t="s">
        <v>98</v>
      </c>
      <c r="H2" s="2" t="s">
        <v>99</v>
      </c>
      <c r="I2" s="2" t="s">
        <v>100</v>
      </c>
      <c r="J2" s="2" t="s">
        <v>101</v>
      </c>
      <c r="K2" s="2" t="s">
        <v>100</v>
      </c>
      <c r="L2" s="2" t="s">
        <v>102</v>
      </c>
      <c r="M2" s="2" t="s">
        <v>100</v>
      </c>
      <c r="N2" s="2" t="s">
        <v>103</v>
      </c>
      <c r="O2" s="2" t="s">
        <v>104</v>
      </c>
      <c r="P2" s="2" t="s">
        <v>100</v>
      </c>
      <c r="Q2" s="2" t="s">
        <v>105</v>
      </c>
      <c r="R2" s="2" t="s">
        <v>106</v>
      </c>
    </row>
    <row r="3" s="1" customFormat="true" ht="15" hidden="false" customHeight="true" outlineLevel="0" collapsed="false">
      <c r="A3" s="1" t="s">
        <v>107</v>
      </c>
      <c r="B3" s="1" t="s">
        <v>107</v>
      </c>
      <c r="C3" s="5" t="n">
        <v>78.3</v>
      </c>
      <c r="D3" s="9" t="n">
        <v>105</v>
      </c>
      <c r="E3" s="4" t="n">
        <v>80.1</v>
      </c>
      <c r="F3" s="4" t="n">
        <v>23.9</v>
      </c>
      <c r="G3" s="9" t="n">
        <v>57</v>
      </c>
      <c r="H3" s="5" t="n">
        <v>1</v>
      </c>
      <c r="I3" s="9" t="n">
        <v>47</v>
      </c>
      <c r="J3" s="5" t="n">
        <v>1</v>
      </c>
      <c r="K3" s="9" t="n">
        <v>46</v>
      </c>
      <c r="L3" s="5" t="n">
        <v>1</v>
      </c>
      <c r="M3" s="9" t="n">
        <v>4</v>
      </c>
      <c r="N3" s="5" t="n">
        <v>1</v>
      </c>
      <c r="O3" s="5" t="n">
        <v>1</v>
      </c>
      <c r="P3" s="9" t="n">
        <v>12</v>
      </c>
      <c r="Q3" s="1" t="s">
        <v>108</v>
      </c>
      <c r="R3" s="1" t="s">
        <v>109</v>
      </c>
    </row>
    <row r="4" s="1" customFormat="true" ht="15" hidden="false" customHeight="true" outlineLevel="0" collapsed="false">
      <c r="A4" s="1" t="s">
        <v>110</v>
      </c>
      <c r="B4" s="1" t="s">
        <v>111</v>
      </c>
      <c r="C4" s="5" t="n">
        <v>60.78</v>
      </c>
      <c r="D4" s="9" t="n">
        <v>102</v>
      </c>
      <c r="E4" s="4" t="n">
        <v>61.4</v>
      </c>
      <c r="F4" s="4" t="n">
        <v>13.3</v>
      </c>
      <c r="G4" s="9" t="n">
        <v>57</v>
      </c>
      <c r="H4" s="5" t="n">
        <v>1</v>
      </c>
      <c r="I4" s="9" t="n">
        <v>46</v>
      </c>
      <c r="J4" s="5" t="n">
        <v>1</v>
      </c>
      <c r="K4" s="9" t="n">
        <v>45</v>
      </c>
      <c r="L4" s="5" t="n">
        <v>1</v>
      </c>
      <c r="M4" s="9" t="n">
        <v>4</v>
      </c>
      <c r="N4" s="5" t="n">
        <v>1</v>
      </c>
      <c r="O4" s="5" t="n">
        <v>1</v>
      </c>
      <c r="P4" s="9" t="n">
        <v>14</v>
      </c>
      <c r="Q4" s="1" t="s">
        <v>108</v>
      </c>
      <c r="R4" s="1" t="s">
        <v>112</v>
      </c>
    </row>
    <row r="5" s="1" customFormat="true" ht="15" hidden="false" customHeight="true" outlineLevel="0" collapsed="false">
      <c r="A5" s="1" t="s">
        <v>113</v>
      </c>
      <c r="B5" s="1" t="s">
        <v>113</v>
      </c>
      <c r="C5" s="5" t="n">
        <v>61</v>
      </c>
      <c r="D5" s="9" t="n">
        <v>102</v>
      </c>
      <c r="E5" s="4" t="n">
        <v>61.7</v>
      </c>
      <c r="F5" s="4" t="n">
        <v>14.2</v>
      </c>
      <c r="G5" s="9" t="n">
        <v>57</v>
      </c>
      <c r="H5" s="5" t="n">
        <v>2.23</v>
      </c>
      <c r="I5" s="9" t="n">
        <v>43</v>
      </c>
      <c r="J5" s="5" t="n">
        <v>3.31</v>
      </c>
      <c r="K5" s="9" t="n">
        <v>45</v>
      </c>
      <c r="L5" s="5" t="n">
        <v>1.87</v>
      </c>
      <c r="M5" s="9" t="n">
        <v>3</v>
      </c>
      <c r="N5" s="5" t="n">
        <v>1.15</v>
      </c>
      <c r="O5" s="5" t="n">
        <v>5.11</v>
      </c>
      <c r="P5" s="9" t="n">
        <v>13</v>
      </c>
      <c r="Q5" s="1" t="s">
        <v>114</v>
      </c>
      <c r="R5" s="1" t="s">
        <v>112</v>
      </c>
    </row>
    <row r="6" s="1" customFormat="true" ht="15" hidden="false" customHeight="true" outlineLevel="0" collapsed="false">
      <c r="A6" s="1" t="s">
        <v>115</v>
      </c>
      <c r="B6" s="1" t="s">
        <v>115</v>
      </c>
      <c r="C6" s="5" t="n">
        <v>63.47</v>
      </c>
      <c r="D6" s="9" t="n">
        <v>103</v>
      </c>
      <c r="E6" s="4" t="n">
        <v>60.8</v>
      </c>
      <c r="F6" s="4" t="n">
        <v>14.5</v>
      </c>
      <c r="G6" s="9" t="n">
        <v>57</v>
      </c>
      <c r="H6" s="5" t="n">
        <v>3.84</v>
      </c>
      <c r="I6" s="9" t="n">
        <v>37</v>
      </c>
      <c r="J6" s="5" t="n">
        <v>5.81</v>
      </c>
      <c r="K6" s="9" t="n">
        <v>36</v>
      </c>
      <c r="L6" s="5" t="n">
        <v>3.34</v>
      </c>
      <c r="M6" s="9" t="n">
        <v>2</v>
      </c>
      <c r="N6" s="5" t="n">
        <v>1.63</v>
      </c>
      <c r="O6" s="5" t="n">
        <v>8.23</v>
      </c>
      <c r="P6" s="9" t="n">
        <v>12</v>
      </c>
      <c r="Q6" s="1" t="s">
        <v>116</v>
      </c>
      <c r="R6" s="1" t="s">
        <v>112</v>
      </c>
    </row>
    <row r="7" s="1" customFormat="true" ht="15" hidden="false" customHeight="true" outlineLevel="0" collapsed="false">
      <c r="A7" s="1" t="s">
        <v>117</v>
      </c>
      <c r="B7" s="1" t="s">
        <v>117</v>
      </c>
      <c r="C7" s="5" t="n">
        <v>69</v>
      </c>
      <c r="D7" s="9" t="n">
        <v>94</v>
      </c>
      <c r="E7" s="4" t="n">
        <v>68.1</v>
      </c>
      <c r="F7" s="4" t="n">
        <v>15.7</v>
      </c>
      <c r="G7" s="9" t="n">
        <v>56</v>
      </c>
      <c r="H7" s="5" t="n">
        <v>6.12</v>
      </c>
      <c r="I7" s="9" t="n">
        <v>32</v>
      </c>
      <c r="J7" s="5" t="n">
        <v>9.1</v>
      </c>
      <c r="K7" s="9" t="n">
        <v>34</v>
      </c>
      <c r="M7" s="9" t="n">
        <v>0</v>
      </c>
      <c r="N7" s="5" t="n">
        <v>3.24</v>
      </c>
      <c r="O7" s="5" t="n">
        <v>14.39</v>
      </c>
      <c r="P7" s="9" t="n">
        <v>12</v>
      </c>
      <c r="Q7" s="1" t="s">
        <v>118</v>
      </c>
      <c r="R7" s="1" t="s">
        <v>112</v>
      </c>
    </row>
    <row r="8" s="1" customFormat="true" ht="15" hidden="false" customHeight="true" outlineLevel="0" collapsed="false">
      <c r="A8" s="1" t="s">
        <v>119</v>
      </c>
      <c r="B8" s="1" t="s">
        <v>119</v>
      </c>
      <c r="C8" s="5" t="n">
        <v>61.85</v>
      </c>
      <c r="D8" s="9" t="n">
        <v>101</v>
      </c>
      <c r="E8" s="4" t="n">
        <v>63.8</v>
      </c>
      <c r="F8" s="4" t="n">
        <v>16.7</v>
      </c>
      <c r="G8" s="9" t="n">
        <v>56</v>
      </c>
      <c r="H8" s="5" t="n">
        <v>3.75</v>
      </c>
      <c r="I8" s="9" t="n">
        <v>38</v>
      </c>
      <c r="J8" s="5" t="n">
        <v>5.77</v>
      </c>
      <c r="K8" s="9" t="n">
        <v>35</v>
      </c>
      <c r="L8" s="5" t="n">
        <v>3.59</v>
      </c>
      <c r="M8" s="9" t="n">
        <v>2</v>
      </c>
      <c r="N8" s="5" t="n">
        <v>1.67</v>
      </c>
      <c r="O8" s="5" t="n">
        <v>8.71</v>
      </c>
      <c r="P8" s="9" t="n">
        <v>12</v>
      </c>
      <c r="Q8" s="1" t="s">
        <v>120</v>
      </c>
      <c r="R8" s="1" t="s">
        <v>112</v>
      </c>
    </row>
    <row r="9" s="1" customFormat="true" ht="15" hidden="false" customHeight="true" outlineLevel="0" collapsed="false">
      <c r="A9" s="1" t="s">
        <v>121</v>
      </c>
      <c r="B9" s="1" t="s">
        <v>122</v>
      </c>
      <c r="C9" s="5" t="n">
        <v>60.3</v>
      </c>
      <c r="D9" s="9" t="n">
        <v>102</v>
      </c>
      <c r="E9" s="4" t="n">
        <v>59.6</v>
      </c>
      <c r="F9" s="4" t="n">
        <v>6.4</v>
      </c>
      <c r="G9" s="9" t="n">
        <v>57</v>
      </c>
      <c r="H9" s="5" t="n">
        <v>1</v>
      </c>
      <c r="I9" s="9" t="n">
        <v>40</v>
      </c>
      <c r="J9" s="5" t="n">
        <v>1</v>
      </c>
      <c r="K9" s="9" t="n">
        <v>37</v>
      </c>
      <c r="L9" s="5" t="n">
        <v>1</v>
      </c>
      <c r="M9" s="9" t="n">
        <v>4</v>
      </c>
      <c r="N9" s="5" t="n">
        <v>1</v>
      </c>
      <c r="O9" s="5" t="n">
        <v>1</v>
      </c>
      <c r="P9" s="9" t="n">
        <v>20</v>
      </c>
      <c r="Q9" s="1" t="s">
        <v>108</v>
      </c>
      <c r="R9" s="1" t="s">
        <v>112</v>
      </c>
    </row>
    <row r="10" s="1" customFormat="true" ht="15" hidden="false" customHeight="true" outlineLevel="0" collapsed="false">
      <c r="A10" s="1" t="s">
        <v>123</v>
      </c>
      <c r="B10" s="1" t="s">
        <v>123</v>
      </c>
      <c r="C10" s="5" t="n">
        <v>57.53</v>
      </c>
      <c r="D10" s="9" t="n">
        <v>102</v>
      </c>
      <c r="E10" s="4" t="n">
        <v>57</v>
      </c>
      <c r="F10" s="4" t="n">
        <v>6</v>
      </c>
      <c r="G10" s="9" t="n">
        <v>57</v>
      </c>
      <c r="H10" s="5" t="n">
        <v>1.67</v>
      </c>
      <c r="I10" s="9" t="n">
        <v>39</v>
      </c>
      <c r="J10" s="5" t="n">
        <v>1.89</v>
      </c>
      <c r="K10" s="9" t="n">
        <v>37</v>
      </c>
      <c r="L10" s="5" t="n">
        <v>1.5</v>
      </c>
      <c r="M10" s="9" t="n">
        <v>4</v>
      </c>
      <c r="N10" s="5" t="n">
        <v>1.02</v>
      </c>
      <c r="O10" s="5" t="n">
        <v>2.71</v>
      </c>
      <c r="P10" s="9" t="n">
        <v>13</v>
      </c>
      <c r="Q10" s="1" t="s">
        <v>114</v>
      </c>
      <c r="R10" s="1" t="s">
        <v>112</v>
      </c>
    </row>
    <row r="11" s="1" customFormat="true" ht="15" hidden="false" customHeight="true" outlineLevel="0" collapsed="false">
      <c r="A11" s="1" t="s">
        <v>124</v>
      </c>
      <c r="B11" s="1" t="s">
        <v>124</v>
      </c>
      <c r="C11" s="5" t="n">
        <v>57.78</v>
      </c>
      <c r="D11" s="9" t="n">
        <v>101</v>
      </c>
      <c r="E11" s="4" t="n">
        <v>57.9</v>
      </c>
      <c r="F11" s="4" t="n">
        <v>6.3</v>
      </c>
      <c r="G11" s="9" t="n">
        <v>57</v>
      </c>
      <c r="H11" s="5" t="n">
        <v>1.84</v>
      </c>
      <c r="I11" s="9" t="n">
        <v>39</v>
      </c>
      <c r="J11" s="5" t="n">
        <v>2.27</v>
      </c>
      <c r="K11" s="9" t="n">
        <v>37</v>
      </c>
      <c r="L11" s="5" t="n">
        <v>1.69</v>
      </c>
      <c r="M11" s="9" t="n">
        <v>4</v>
      </c>
      <c r="N11" s="5" t="n">
        <v>1.07</v>
      </c>
      <c r="O11" s="5" t="n">
        <v>3.58</v>
      </c>
      <c r="P11" s="9" t="n">
        <v>12</v>
      </c>
      <c r="Q11" s="1" t="s">
        <v>116</v>
      </c>
      <c r="R11" s="1" t="s">
        <v>112</v>
      </c>
    </row>
    <row r="12" s="1" customFormat="true" ht="15" hidden="false" customHeight="true" outlineLevel="0" collapsed="false">
      <c r="A12" s="1" t="s">
        <v>125</v>
      </c>
      <c r="B12" s="1" t="s">
        <v>125</v>
      </c>
      <c r="C12" s="5" t="n">
        <v>57.09</v>
      </c>
      <c r="D12" s="9" t="n">
        <v>100</v>
      </c>
      <c r="E12" s="4" t="n">
        <v>57.5</v>
      </c>
      <c r="F12" s="4" t="n">
        <v>6.4</v>
      </c>
      <c r="G12" s="9" t="n">
        <v>56</v>
      </c>
      <c r="H12" s="5" t="n">
        <v>2.03</v>
      </c>
      <c r="I12" s="9" t="n">
        <v>39</v>
      </c>
      <c r="J12" s="5" t="n">
        <v>2.39</v>
      </c>
      <c r="K12" s="9" t="n">
        <v>37</v>
      </c>
      <c r="L12" s="5" t="n">
        <v>1.87</v>
      </c>
      <c r="M12" s="9" t="n">
        <v>4</v>
      </c>
      <c r="N12" s="5" t="n">
        <v>1.09</v>
      </c>
      <c r="O12" s="5" t="n">
        <v>4.06</v>
      </c>
      <c r="P12" s="9" t="n">
        <v>12</v>
      </c>
      <c r="Q12" s="1" t="s">
        <v>118</v>
      </c>
      <c r="R12" s="1" t="s">
        <v>112</v>
      </c>
    </row>
    <row r="13" s="1" customFormat="true" ht="15" hidden="false" customHeight="true" outlineLevel="0" collapsed="false">
      <c r="A13" s="1" t="s">
        <v>126</v>
      </c>
      <c r="B13" s="1" t="s">
        <v>126</v>
      </c>
      <c r="C13" s="5" t="n">
        <v>59.39</v>
      </c>
      <c r="D13" s="9" t="n">
        <v>102</v>
      </c>
      <c r="E13" s="4" t="n">
        <v>59.1</v>
      </c>
      <c r="F13" s="4" t="n">
        <v>6.9</v>
      </c>
      <c r="G13" s="9" t="n">
        <v>56</v>
      </c>
      <c r="H13" s="5" t="n">
        <v>3.22</v>
      </c>
      <c r="I13" s="9" t="n">
        <v>34</v>
      </c>
      <c r="J13" s="5" t="n">
        <v>3.59</v>
      </c>
      <c r="K13" s="9" t="n">
        <v>37</v>
      </c>
      <c r="M13" s="9" t="n">
        <v>0</v>
      </c>
      <c r="N13" s="5" t="n">
        <v>1.48</v>
      </c>
      <c r="O13" s="5" t="n">
        <v>7.08</v>
      </c>
      <c r="P13" s="9" t="n">
        <v>12</v>
      </c>
      <c r="Q13" s="1" t="s">
        <v>120</v>
      </c>
      <c r="R13" s="1" t="s">
        <v>112</v>
      </c>
    </row>
    <row r="14" s="1" customFormat="true" ht="15" hidden="false" customHeight="true" outlineLevel="0" collapsed="false">
      <c r="A14" s="1" t="s">
        <v>127</v>
      </c>
      <c r="B14" s="1" t="s">
        <v>128</v>
      </c>
      <c r="C14" s="5" t="n">
        <v>156.58</v>
      </c>
      <c r="D14" s="9" t="n">
        <v>102</v>
      </c>
      <c r="E14" s="4" t="n">
        <v>156.6</v>
      </c>
      <c r="F14" s="4" t="n">
        <v>18.7</v>
      </c>
      <c r="G14" s="9" t="n">
        <v>57</v>
      </c>
      <c r="H14" s="5" t="n">
        <v>1</v>
      </c>
      <c r="I14" s="9" t="n">
        <v>40</v>
      </c>
      <c r="J14" s="5" t="n">
        <v>1</v>
      </c>
      <c r="K14" s="9" t="n">
        <v>37</v>
      </c>
      <c r="L14" s="5" t="n">
        <v>1</v>
      </c>
      <c r="M14" s="9" t="n">
        <v>4</v>
      </c>
      <c r="N14" s="5" t="n">
        <v>1</v>
      </c>
      <c r="O14" s="5" t="n">
        <v>1</v>
      </c>
      <c r="P14" s="9" t="n">
        <v>20</v>
      </c>
      <c r="Q14" s="1" t="s">
        <v>108</v>
      </c>
      <c r="R14" s="1" t="s">
        <v>112</v>
      </c>
    </row>
    <row r="15" s="1" customFormat="true" ht="15" hidden="false" customHeight="true" outlineLevel="0" collapsed="false">
      <c r="A15" s="1" t="s">
        <v>129</v>
      </c>
      <c r="B15" s="1" t="s">
        <v>129</v>
      </c>
      <c r="C15" s="5" t="n">
        <v>153.07</v>
      </c>
      <c r="D15" s="9" t="n">
        <v>102</v>
      </c>
      <c r="E15" s="4" t="n">
        <v>154.1</v>
      </c>
      <c r="F15" s="4" t="n">
        <v>18.5</v>
      </c>
      <c r="G15" s="9" t="n">
        <v>57</v>
      </c>
      <c r="H15" s="5" t="n">
        <v>1.61</v>
      </c>
      <c r="I15" s="9" t="n">
        <v>40</v>
      </c>
      <c r="J15" s="5" t="n">
        <v>1.73</v>
      </c>
      <c r="K15" s="9" t="n">
        <v>37</v>
      </c>
      <c r="L15" s="5" t="n">
        <v>1.46</v>
      </c>
      <c r="M15" s="9" t="n">
        <v>4</v>
      </c>
      <c r="N15" s="5" t="n">
        <v>1.02</v>
      </c>
      <c r="O15" s="5" t="n">
        <v>2.85</v>
      </c>
      <c r="P15" s="9" t="n">
        <v>20</v>
      </c>
      <c r="Q15" s="1" t="s">
        <v>114</v>
      </c>
      <c r="R15" s="1" t="s">
        <v>112</v>
      </c>
    </row>
    <row r="16" s="1" customFormat="true" ht="15" hidden="false" customHeight="true" outlineLevel="0" collapsed="false">
      <c r="A16" s="1" t="s">
        <v>130</v>
      </c>
      <c r="B16" s="1" t="s">
        <v>130</v>
      </c>
      <c r="C16" s="5" t="n">
        <v>156</v>
      </c>
      <c r="D16" s="9" t="n">
        <v>102</v>
      </c>
      <c r="E16" s="4" t="n">
        <v>152.3</v>
      </c>
      <c r="F16" s="4" t="n">
        <v>22.1</v>
      </c>
      <c r="G16" s="9" t="n">
        <v>57</v>
      </c>
      <c r="H16" s="5" t="n">
        <v>1.83</v>
      </c>
      <c r="I16" s="9" t="n">
        <v>40</v>
      </c>
      <c r="J16" s="5" t="n">
        <v>1.98</v>
      </c>
      <c r="K16" s="9" t="n">
        <v>37</v>
      </c>
      <c r="L16" s="5" t="n">
        <v>1.83</v>
      </c>
      <c r="M16" s="9" t="n">
        <v>4</v>
      </c>
      <c r="N16" s="5" t="n">
        <v>1.07</v>
      </c>
      <c r="O16" s="5" t="n">
        <v>3.62</v>
      </c>
      <c r="P16" s="9" t="n">
        <v>20</v>
      </c>
      <c r="Q16" s="1" t="s">
        <v>116</v>
      </c>
      <c r="R16" s="1" t="s">
        <v>112</v>
      </c>
    </row>
    <row r="17" s="1" customFormat="true" ht="15" hidden="false" customHeight="true" outlineLevel="0" collapsed="false">
      <c r="A17" s="1" t="s">
        <v>131</v>
      </c>
      <c r="B17" s="1" t="s">
        <v>131</v>
      </c>
      <c r="C17" s="5" t="n">
        <v>157.47</v>
      </c>
      <c r="D17" s="9" t="n">
        <v>100</v>
      </c>
      <c r="E17" s="4" t="n">
        <v>155.2</v>
      </c>
      <c r="F17" s="4" t="n">
        <v>19.5</v>
      </c>
      <c r="G17" s="9" t="n">
        <v>56</v>
      </c>
      <c r="H17" s="5" t="n">
        <v>1.97</v>
      </c>
      <c r="I17" s="9" t="n">
        <v>39</v>
      </c>
      <c r="J17" s="5" t="n">
        <v>2.1</v>
      </c>
      <c r="K17" s="9" t="n">
        <v>37</v>
      </c>
      <c r="L17" s="5" t="n">
        <v>2.01</v>
      </c>
      <c r="M17" s="9" t="n">
        <v>4</v>
      </c>
      <c r="N17" s="5" t="n">
        <v>1.1</v>
      </c>
      <c r="O17" s="5" t="n">
        <v>4.41</v>
      </c>
      <c r="P17" s="9" t="n">
        <v>14</v>
      </c>
      <c r="Q17" s="1" t="s">
        <v>118</v>
      </c>
      <c r="R17" s="1" t="s">
        <v>112</v>
      </c>
    </row>
    <row r="18" s="1" customFormat="true" ht="15" hidden="false" customHeight="true" outlineLevel="0" collapsed="false">
      <c r="A18" s="1" t="s">
        <v>132</v>
      </c>
      <c r="B18" s="1" t="s">
        <v>132</v>
      </c>
      <c r="C18" s="5" t="n">
        <v>154.37</v>
      </c>
      <c r="D18" s="9" t="n">
        <v>99</v>
      </c>
      <c r="E18" s="4" t="n">
        <v>153.7</v>
      </c>
      <c r="F18" s="4" t="n">
        <v>19.8</v>
      </c>
      <c r="G18" s="9" t="n">
        <v>56</v>
      </c>
      <c r="H18" s="5" t="n">
        <v>3.7</v>
      </c>
      <c r="I18" s="9" t="n">
        <v>39</v>
      </c>
      <c r="J18" s="5" t="n">
        <v>4.1</v>
      </c>
      <c r="K18" s="9" t="n">
        <v>37</v>
      </c>
      <c r="L18" s="5" t="n">
        <v>3.89</v>
      </c>
      <c r="M18" s="9" t="n">
        <v>4</v>
      </c>
      <c r="N18" s="5" t="n">
        <v>2.03</v>
      </c>
      <c r="O18" s="5" t="n">
        <v>8.31</v>
      </c>
      <c r="P18" s="9" t="n">
        <v>12</v>
      </c>
      <c r="Q18" s="1" t="s">
        <v>120</v>
      </c>
      <c r="R18" s="1" t="s">
        <v>112</v>
      </c>
    </row>
    <row r="19" s="1" customFormat="true" ht="15" hidden="false" customHeight="true" outlineLevel="0" collapsed="false">
      <c r="A19" s="1" t="s">
        <v>133</v>
      </c>
      <c r="B19" s="1" t="s">
        <v>134</v>
      </c>
      <c r="C19" s="5" t="n">
        <v>145.41</v>
      </c>
      <c r="D19" s="9" t="n">
        <v>103</v>
      </c>
      <c r="E19" s="4" t="n">
        <v>140.5</v>
      </c>
      <c r="F19" s="4" t="n">
        <v>18.1</v>
      </c>
      <c r="G19" s="9" t="n">
        <v>57</v>
      </c>
      <c r="H19" s="5" t="n">
        <v>1</v>
      </c>
      <c r="I19" s="9" t="n">
        <v>40</v>
      </c>
      <c r="J19" s="5" t="n">
        <v>1</v>
      </c>
      <c r="K19" s="9" t="n">
        <v>37</v>
      </c>
      <c r="L19" s="5" t="n">
        <v>1</v>
      </c>
      <c r="M19" s="9" t="n">
        <v>4</v>
      </c>
      <c r="N19" s="5" t="n">
        <v>1</v>
      </c>
      <c r="O19" s="5" t="n">
        <v>1</v>
      </c>
      <c r="P19" s="9" t="n">
        <v>20</v>
      </c>
      <c r="Q19" s="1" t="s">
        <v>108</v>
      </c>
      <c r="R19" s="1" t="s">
        <v>112</v>
      </c>
    </row>
    <row r="20" s="1" customFormat="true" ht="15" hidden="false" customHeight="true" outlineLevel="0" collapsed="false">
      <c r="A20" s="1" t="s">
        <v>135</v>
      </c>
      <c r="B20" s="1" t="s">
        <v>135</v>
      </c>
      <c r="C20" s="5" t="n">
        <v>138.64</v>
      </c>
      <c r="D20" s="9" t="n">
        <v>102</v>
      </c>
      <c r="E20" s="4" t="n">
        <v>137.2</v>
      </c>
      <c r="F20" s="4" t="n">
        <v>14.3</v>
      </c>
      <c r="G20" s="9" t="n">
        <v>57</v>
      </c>
      <c r="H20" s="5" t="n">
        <v>1.44</v>
      </c>
      <c r="I20" s="9" t="n">
        <v>40</v>
      </c>
      <c r="J20" s="5" t="n">
        <v>1.51</v>
      </c>
      <c r="K20" s="9" t="n">
        <v>37</v>
      </c>
      <c r="L20" s="5" t="n">
        <v>1.31</v>
      </c>
      <c r="M20" s="9" t="n">
        <v>4</v>
      </c>
      <c r="N20" s="5" t="n">
        <v>1.01</v>
      </c>
      <c r="O20" s="5" t="n">
        <v>2.19</v>
      </c>
      <c r="P20" s="9" t="n">
        <v>20</v>
      </c>
      <c r="Q20" s="1" t="s">
        <v>114</v>
      </c>
      <c r="R20" s="1" t="s">
        <v>112</v>
      </c>
    </row>
    <row r="21" s="1" customFormat="true" ht="15.75" hidden="false" customHeight="true" outlineLevel="0" collapsed="false">
      <c r="A21" s="1" t="s">
        <v>136</v>
      </c>
      <c r="B21" s="1" t="s">
        <v>136</v>
      </c>
      <c r="C21" s="5" t="n">
        <v>140.63</v>
      </c>
      <c r="D21" s="9" t="n">
        <v>102</v>
      </c>
      <c r="E21" s="4" t="n">
        <v>136.7</v>
      </c>
      <c r="F21" s="4" t="n">
        <v>15.2</v>
      </c>
      <c r="G21" s="9" t="n">
        <v>57</v>
      </c>
      <c r="H21" s="5" t="n">
        <v>1.67</v>
      </c>
      <c r="I21" s="9" t="n">
        <v>40</v>
      </c>
      <c r="J21" s="5" t="n">
        <v>1.78</v>
      </c>
      <c r="K21" s="9" t="n">
        <v>37</v>
      </c>
      <c r="L21" s="5" t="n">
        <v>1.72</v>
      </c>
      <c r="M21" s="9" t="n">
        <v>4</v>
      </c>
      <c r="N21" s="5" t="n">
        <v>1.08</v>
      </c>
      <c r="O21" s="5" t="n">
        <v>3.66</v>
      </c>
      <c r="P21" s="9" t="n">
        <v>20</v>
      </c>
      <c r="Q21" s="1" t="s">
        <v>116</v>
      </c>
      <c r="R21" s="1" t="s">
        <v>112</v>
      </c>
    </row>
    <row r="22" s="1" customFormat="true" ht="15.75" hidden="false" customHeight="true" outlineLevel="0" collapsed="false">
      <c r="A22" s="1" t="s">
        <v>137</v>
      </c>
      <c r="B22" s="1" t="s">
        <v>137</v>
      </c>
      <c r="C22" s="5" t="n">
        <v>142.46</v>
      </c>
      <c r="D22" s="9" t="n">
        <v>100</v>
      </c>
      <c r="E22" s="4" t="n">
        <v>140.4</v>
      </c>
      <c r="F22" s="4" t="n">
        <v>13.5</v>
      </c>
      <c r="G22" s="9" t="n">
        <v>56</v>
      </c>
      <c r="H22" s="5" t="n">
        <v>2.91</v>
      </c>
      <c r="I22" s="9" t="n">
        <v>39</v>
      </c>
      <c r="J22" s="5" t="n">
        <v>2.65</v>
      </c>
      <c r="K22" s="9" t="n">
        <v>37</v>
      </c>
      <c r="L22" s="5" t="n">
        <v>2.56</v>
      </c>
      <c r="M22" s="9" t="n">
        <v>4</v>
      </c>
      <c r="N22" s="5" t="n">
        <v>1.25</v>
      </c>
      <c r="O22" s="5" t="n">
        <v>6.81</v>
      </c>
      <c r="P22" s="9" t="n">
        <v>12</v>
      </c>
      <c r="Q22" s="1" t="s">
        <v>118</v>
      </c>
      <c r="R22" s="1" t="s">
        <v>112</v>
      </c>
    </row>
    <row r="23" s="1" customFormat="true" ht="15.75" hidden="false" customHeight="true" outlineLevel="0" collapsed="false">
      <c r="A23" s="1" t="s">
        <v>138</v>
      </c>
      <c r="B23" s="1" t="s">
        <v>138</v>
      </c>
      <c r="C23" s="5" t="n">
        <v>145.78</v>
      </c>
      <c r="D23" s="9" t="n">
        <v>33</v>
      </c>
      <c r="E23" s="4" t="n">
        <v>139.2</v>
      </c>
      <c r="F23" s="4" t="n">
        <v>24.5</v>
      </c>
      <c r="G23" s="9" t="n">
        <v>23</v>
      </c>
      <c r="H23" s="5" t="n">
        <v>12.49</v>
      </c>
      <c r="I23" s="9" t="n">
        <v>26</v>
      </c>
      <c r="J23" s="5" t="n">
        <v>12.5</v>
      </c>
      <c r="K23" s="9" t="n">
        <v>33</v>
      </c>
      <c r="L23" s="5" t="n">
        <v>5.23</v>
      </c>
      <c r="M23" s="9" t="n">
        <v>1</v>
      </c>
      <c r="N23" s="5" t="n">
        <v>3.71</v>
      </c>
      <c r="O23" s="5" t="n">
        <v>35.9</v>
      </c>
      <c r="P23" s="9" t="n">
        <v>12</v>
      </c>
      <c r="Q23" s="1" t="s">
        <v>120</v>
      </c>
      <c r="R23" s="1" t="s">
        <v>112</v>
      </c>
    </row>
    <row r="24" s="1" customFormat="true" ht="15.75" hidden="false" customHeight="true" outlineLevel="0" collapsed="false">
      <c r="A24" s="1" t="s">
        <v>139</v>
      </c>
      <c r="B24" s="1" t="s">
        <v>140</v>
      </c>
      <c r="C24" s="5" t="n">
        <v>85.94</v>
      </c>
      <c r="D24" s="9" t="n">
        <v>102</v>
      </c>
      <c r="E24" s="4" t="n">
        <v>86</v>
      </c>
      <c r="F24" s="4" t="n">
        <v>12.7</v>
      </c>
      <c r="G24" s="9" t="n">
        <v>57</v>
      </c>
      <c r="H24" s="5" t="n">
        <v>1</v>
      </c>
      <c r="I24" s="9" t="n">
        <v>40</v>
      </c>
      <c r="J24" s="5" t="n">
        <v>1</v>
      </c>
      <c r="K24" s="9" t="n">
        <v>37</v>
      </c>
      <c r="L24" s="5" t="n">
        <v>1</v>
      </c>
      <c r="M24" s="9" t="n">
        <v>4</v>
      </c>
      <c r="N24" s="5" t="n">
        <v>1</v>
      </c>
      <c r="O24" s="5" t="n">
        <v>1</v>
      </c>
      <c r="P24" s="9" t="n">
        <v>20</v>
      </c>
      <c r="Q24" s="1" t="s">
        <v>108</v>
      </c>
      <c r="R24" s="1" t="s">
        <v>112</v>
      </c>
    </row>
    <row r="25" s="1" customFormat="true" ht="15.75" hidden="false" customHeight="true" outlineLevel="0" collapsed="false">
      <c r="A25" s="1" t="s">
        <v>141</v>
      </c>
      <c r="B25" s="1" t="s">
        <v>141</v>
      </c>
      <c r="C25" s="5" t="n">
        <v>91.65</v>
      </c>
      <c r="D25" s="9" t="n">
        <v>102</v>
      </c>
      <c r="E25" s="4" t="n">
        <v>92.1</v>
      </c>
      <c r="F25" s="4" t="n">
        <v>16.3</v>
      </c>
      <c r="G25" s="9" t="n">
        <v>57</v>
      </c>
      <c r="H25" s="5" t="n">
        <v>1.35</v>
      </c>
      <c r="I25" s="9" t="n">
        <v>40</v>
      </c>
      <c r="J25" s="5" t="n">
        <v>1.41</v>
      </c>
      <c r="K25" s="9" t="n">
        <v>36</v>
      </c>
      <c r="L25" s="5" t="n">
        <v>1.28</v>
      </c>
      <c r="M25" s="9" t="n">
        <v>4</v>
      </c>
      <c r="N25" s="5" t="n">
        <v>1.01</v>
      </c>
      <c r="O25" s="5" t="n">
        <v>1.99</v>
      </c>
      <c r="P25" s="9" t="n">
        <v>14</v>
      </c>
      <c r="Q25" s="1" t="s">
        <v>114</v>
      </c>
      <c r="R25" s="1" t="s">
        <v>112</v>
      </c>
    </row>
    <row r="26" s="1" customFormat="true" ht="15.75" hidden="false" customHeight="true" outlineLevel="0" collapsed="false">
      <c r="A26" s="1" t="s">
        <v>142</v>
      </c>
      <c r="B26" s="1" t="s">
        <v>142</v>
      </c>
      <c r="C26" s="5" t="n">
        <v>94.25</v>
      </c>
      <c r="D26" s="9" t="n">
        <v>103</v>
      </c>
      <c r="E26" s="4" t="n">
        <v>93</v>
      </c>
      <c r="F26" s="4" t="n">
        <v>10.7</v>
      </c>
      <c r="G26" s="9" t="n">
        <v>57</v>
      </c>
      <c r="H26" s="5" t="n">
        <v>1.75</v>
      </c>
      <c r="I26" s="9" t="n">
        <v>40</v>
      </c>
      <c r="J26" s="5" t="n">
        <v>1.71</v>
      </c>
      <c r="K26" s="9" t="n">
        <v>37</v>
      </c>
      <c r="L26" s="5" t="n">
        <v>1.6</v>
      </c>
      <c r="M26" s="9" t="n">
        <v>4</v>
      </c>
      <c r="N26" s="5" t="n">
        <v>1.06</v>
      </c>
      <c r="O26" s="5" t="n">
        <v>2.82</v>
      </c>
      <c r="P26" s="9" t="n">
        <v>20</v>
      </c>
      <c r="Q26" s="1" t="s">
        <v>116</v>
      </c>
      <c r="R26" s="1" t="s">
        <v>112</v>
      </c>
    </row>
    <row r="27" s="1" customFormat="true" ht="15.75" hidden="false" customHeight="true" outlineLevel="0" collapsed="false">
      <c r="A27" s="1" t="s">
        <v>143</v>
      </c>
      <c r="B27" s="1" t="s">
        <v>143</v>
      </c>
      <c r="C27" s="5" t="n">
        <v>92.07</v>
      </c>
      <c r="D27" s="9" t="n">
        <v>100</v>
      </c>
      <c r="E27" s="4" t="n">
        <v>93.4</v>
      </c>
      <c r="F27" s="4" t="n">
        <v>11.3</v>
      </c>
      <c r="G27" s="9" t="n">
        <v>56</v>
      </c>
      <c r="H27" s="5" t="n">
        <v>2.2</v>
      </c>
      <c r="I27" s="9" t="n">
        <v>39</v>
      </c>
      <c r="J27" s="5" t="n">
        <v>2.38</v>
      </c>
      <c r="K27" s="9" t="n">
        <v>37</v>
      </c>
      <c r="L27" s="5" t="n">
        <v>2.14</v>
      </c>
      <c r="M27" s="9" t="n">
        <v>4</v>
      </c>
      <c r="N27" s="5" t="n">
        <v>1.23</v>
      </c>
      <c r="O27" s="5" t="n">
        <v>3.89</v>
      </c>
      <c r="P27" s="9" t="n">
        <v>12</v>
      </c>
      <c r="Q27" s="1" t="s">
        <v>118</v>
      </c>
      <c r="R27" s="1" t="s">
        <v>112</v>
      </c>
    </row>
    <row r="28" s="1" customFormat="true" ht="15.75" hidden="false" customHeight="true" outlineLevel="0" collapsed="false">
      <c r="A28" s="1" t="s">
        <v>144</v>
      </c>
      <c r="B28" s="1" t="s">
        <v>144</v>
      </c>
      <c r="C28" s="5" t="n">
        <v>95.16</v>
      </c>
      <c r="D28" s="9" t="n">
        <v>61</v>
      </c>
      <c r="E28" s="4" t="n">
        <v>95.6</v>
      </c>
      <c r="F28" s="4" t="n">
        <v>10.1</v>
      </c>
      <c r="G28" s="9" t="n">
        <v>44</v>
      </c>
      <c r="H28" s="5" t="n">
        <v>3.89</v>
      </c>
      <c r="I28" s="9" t="n">
        <v>39</v>
      </c>
      <c r="J28" s="5" t="n">
        <v>4.05</v>
      </c>
      <c r="K28" s="9" t="n">
        <v>36</v>
      </c>
      <c r="L28" s="5" t="n">
        <v>2.99</v>
      </c>
      <c r="M28" s="9" t="n">
        <v>1</v>
      </c>
      <c r="N28" s="5" t="n">
        <v>1.44</v>
      </c>
      <c r="O28" s="5" t="n">
        <v>6.84</v>
      </c>
      <c r="P28" s="9" t="n">
        <v>12</v>
      </c>
      <c r="Q28" s="1" t="s">
        <v>120</v>
      </c>
      <c r="R28" s="1" t="s">
        <v>112</v>
      </c>
    </row>
    <row r="29" s="1" customFormat="true" ht="15.75" hidden="false" customHeight="true" outlineLevel="0" collapsed="false">
      <c r="A29" s="1" t="s">
        <v>145</v>
      </c>
      <c r="B29" s="1" t="s">
        <v>145</v>
      </c>
      <c r="C29" s="5" t="n">
        <v>59.88</v>
      </c>
      <c r="D29" s="9" t="n">
        <v>102</v>
      </c>
      <c r="E29" s="4" t="n">
        <v>60.9</v>
      </c>
      <c r="F29" s="4" t="n">
        <v>9.2</v>
      </c>
      <c r="G29" s="9" t="n">
        <v>57</v>
      </c>
      <c r="H29" s="5" t="n">
        <v>1.71</v>
      </c>
      <c r="I29" s="9" t="n">
        <v>39</v>
      </c>
      <c r="J29" s="5" t="n">
        <v>2.07</v>
      </c>
      <c r="K29" s="9" t="n">
        <v>37</v>
      </c>
      <c r="L29" s="5" t="n">
        <v>1.84</v>
      </c>
      <c r="M29" s="9" t="n">
        <v>4</v>
      </c>
      <c r="N29" s="5" t="n">
        <v>1.02</v>
      </c>
      <c r="O29" s="5" t="n">
        <v>5.82</v>
      </c>
      <c r="P29" s="9" t="n">
        <v>12</v>
      </c>
      <c r="Q29" s="1" t="s">
        <v>146</v>
      </c>
      <c r="R29" s="1" t="s">
        <v>112</v>
      </c>
    </row>
    <row r="30" s="1" customFormat="true" ht="15.75" hidden="false" customHeight="true" outlineLevel="0" collapsed="false">
      <c r="A30" s="1" t="s">
        <v>147</v>
      </c>
      <c r="B30" s="1" t="s">
        <v>147</v>
      </c>
      <c r="C30" s="5" t="n">
        <v>61.38</v>
      </c>
      <c r="D30" s="9" t="n">
        <v>102</v>
      </c>
      <c r="E30" s="4" t="n">
        <v>61.2</v>
      </c>
      <c r="F30" s="4" t="n">
        <v>8.6</v>
      </c>
      <c r="G30" s="9" t="n">
        <v>57</v>
      </c>
      <c r="H30" s="5" t="n">
        <v>1.45</v>
      </c>
      <c r="I30" s="9" t="n">
        <v>39</v>
      </c>
      <c r="J30" s="5" t="n">
        <v>1.64</v>
      </c>
      <c r="K30" s="9" t="n">
        <v>37</v>
      </c>
      <c r="L30" s="5" t="n">
        <v>1.34</v>
      </c>
      <c r="M30" s="9" t="n">
        <v>4</v>
      </c>
      <c r="N30" s="5" t="n">
        <v>1.01</v>
      </c>
      <c r="O30" s="5" t="n">
        <v>2.07</v>
      </c>
      <c r="P30" s="9" t="n">
        <v>20</v>
      </c>
      <c r="Q30" s="1" t="s">
        <v>114</v>
      </c>
      <c r="R30" s="1" t="s">
        <v>112</v>
      </c>
    </row>
    <row r="31" s="1" customFormat="true" ht="15.75" hidden="false" customHeight="true" outlineLevel="0" collapsed="false">
      <c r="A31" s="1" t="s">
        <v>148</v>
      </c>
      <c r="B31" s="1" t="s">
        <v>148</v>
      </c>
      <c r="C31" s="5" t="n">
        <v>60.89</v>
      </c>
      <c r="D31" s="9" t="n">
        <v>103</v>
      </c>
      <c r="E31" s="4" t="n">
        <v>61.4</v>
      </c>
      <c r="F31" s="4" t="n">
        <v>9.1</v>
      </c>
      <c r="G31" s="9" t="n">
        <v>57</v>
      </c>
      <c r="H31" s="5" t="n">
        <v>1.69</v>
      </c>
      <c r="I31" s="9" t="n">
        <v>39</v>
      </c>
      <c r="J31" s="5" t="n">
        <v>2.01</v>
      </c>
      <c r="K31" s="9" t="n">
        <v>37</v>
      </c>
      <c r="L31" s="5" t="n">
        <v>1.54</v>
      </c>
      <c r="M31" s="9" t="n">
        <v>4</v>
      </c>
      <c r="N31" s="5" t="n">
        <v>1.02</v>
      </c>
      <c r="O31" s="5" t="n">
        <v>3.21</v>
      </c>
      <c r="P31" s="9" t="n">
        <v>12</v>
      </c>
      <c r="Q31" s="1" t="s">
        <v>116</v>
      </c>
      <c r="R31" s="1" t="s">
        <v>112</v>
      </c>
    </row>
    <row r="32" s="1" customFormat="true" ht="15.75" hidden="false" customHeight="true" outlineLevel="0" collapsed="false">
      <c r="A32" s="1" t="s">
        <v>149</v>
      </c>
      <c r="B32" s="1" t="s">
        <v>149</v>
      </c>
      <c r="C32" s="5" t="n">
        <v>60.69</v>
      </c>
      <c r="D32" s="9" t="n">
        <v>101</v>
      </c>
      <c r="E32" s="4" t="n">
        <v>61.5</v>
      </c>
      <c r="F32" s="4" t="n">
        <v>9</v>
      </c>
      <c r="G32" s="9" t="n">
        <v>56</v>
      </c>
      <c r="H32" s="5" t="n">
        <v>2.39</v>
      </c>
      <c r="I32" s="9" t="n">
        <v>39</v>
      </c>
      <c r="J32" s="5" t="n">
        <v>2.99</v>
      </c>
      <c r="K32" s="9" t="n">
        <v>36</v>
      </c>
      <c r="L32" s="5" t="n">
        <v>2.2</v>
      </c>
      <c r="M32" s="9" t="n">
        <v>4</v>
      </c>
      <c r="N32" s="5" t="n">
        <v>1.14</v>
      </c>
      <c r="O32" s="5" t="n">
        <v>4.93</v>
      </c>
      <c r="P32" s="9" t="n">
        <v>12</v>
      </c>
      <c r="Q32" s="1" t="s">
        <v>118</v>
      </c>
      <c r="R32" s="1" t="s">
        <v>112</v>
      </c>
    </row>
    <row r="33" s="1" customFormat="true" ht="15.75" hidden="false" customHeight="true" outlineLevel="0" collapsed="false">
      <c r="A33" s="1" t="s">
        <v>150</v>
      </c>
      <c r="B33" s="1" t="s">
        <v>150</v>
      </c>
      <c r="C33" s="5" t="n">
        <v>59.91</v>
      </c>
      <c r="D33" s="9" t="n">
        <v>100</v>
      </c>
      <c r="E33" s="4" t="n">
        <v>61.4</v>
      </c>
      <c r="F33" s="4" t="n">
        <v>9.9</v>
      </c>
      <c r="G33" s="9" t="n">
        <v>56</v>
      </c>
      <c r="H33" s="5" t="n">
        <v>2.46</v>
      </c>
      <c r="I33" s="9" t="n">
        <v>38</v>
      </c>
      <c r="J33" s="5" t="n">
        <v>3.52</v>
      </c>
      <c r="K33" s="9" t="n">
        <v>37</v>
      </c>
      <c r="L33" s="5" t="n">
        <v>2.76</v>
      </c>
      <c r="M33" s="9" t="n">
        <v>3</v>
      </c>
      <c r="N33" s="5" t="n">
        <v>1.29</v>
      </c>
      <c r="O33" s="5" t="n">
        <v>5.62</v>
      </c>
      <c r="P33" s="9" t="n">
        <v>12</v>
      </c>
      <c r="Q33" s="1" t="s">
        <v>120</v>
      </c>
      <c r="R33" s="1" t="s">
        <v>112</v>
      </c>
    </row>
    <row r="34" s="1" customFormat="true" ht="15.75" hidden="false" customHeight="true" outlineLevel="0" collapsed="false">
      <c r="A34" s="1" t="s">
        <v>151</v>
      </c>
      <c r="B34" s="1" t="s">
        <v>151</v>
      </c>
      <c r="C34" s="5" t="n">
        <v>129.9</v>
      </c>
      <c r="D34" s="9" t="n">
        <v>68</v>
      </c>
      <c r="E34" s="4" t="n">
        <v>127.8</v>
      </c>
      <c r="F34" s="4" t="n">
        <v>19.9</v>
      </c>
      <c r="G34" s="9" t="n">
        <v>41</v>
      </c>
      <c r="H34" s="5" t="n">
        <v>1.6</v>
      </c>
      <c r="I34" s="9" t="n">
        <v>40</v>
      </c>
      <c r="J34" s="5" t="n">
        <v>2.04</v>
      </c>
      <c r="K34" s="9" t="n">
        <v>37</v>
      </c>
      <c r="L34" s="5" t="n">
        <v>1.5</v>
      </c>
      <c r="M34" s="9" t="n">
        <v>4</v>
      </c>
      <c r="N34" s="5" t="n">
        <v>1.03</v>
      </c>
      <c r="O34" s="5" t="n">
        <v>2.71</v>
      </c>
      <c r="P34" s="9" t="n">
        <v>20</v>
      </c>
      <c r="Q34" s="1" t="s">
        <v>146</v>
      </c>
      <c r="R34" s="1" t="s">
        <v>112</v>
      </c>
    </row>
    <row r="35" s="1" customFormat="true" ht="15.75" hidden="false" customHeight="true" outlineLevel="0" collapsed="false">
      <c r="A35" s="1" t="s">
        <v>152</v>
      </c>
      <c r="B35" s="1" t="s">
        <v>152</v>
      </c>
      <c r="C35" s="5" t="n">
        <v>131.85</v>
      </c>
      <c r="D35" s="9" t="n">
        <v>68</v>
      </c>
      <c r="E35" s="4" t="n">
        <v>130</v>
      </c>
      <c r="F35" s="4" t="n">
        <v>21.1</v>
      </c>
      <c r="G35" s="9" t="n">
        <v>41</v>
      </c>
      <c r="H35" s="5" t="n">
        <v>1.43</v>
      </c>
      <c r="I35" s="9" t="n">
        <v>40</v>
      </c>
      <c r="J35" s="5" t="n">
        <v>1.73</v>
      </c>
      <c r="K35" s="9" t="n">
        <v>37</v>
      </c>
      <c r="L35" s="5" t="n">
        <v>1.36</v>
      </c>
      <c r="M35" s="9" t="n">
        <v>4</v>
      </c>
      <c r="N35" s="5" t="n">
        <v>1.02</v>
      </c>
      <c r="O35" s="5" t="n">
        <v>2.06</v>
      </c>
      <c r="P35" s="9" t="n">
        <v>20</v>
      </c>
      <c r="Q35" s="1" t="s">
        <v>114</v>
      </c>
      <c r="R35" s="1" t="s">
        <v>112</v>
      </c>
    </row>
    <row r="36" s="1" customFormat="true" ht="15.75" hidden="false" customHeight="true" outlineLevel="0" collapsed="false">
      <c r="A36" s="1" t="s">
        <v>153</v>
      </c>
      <c r="B36" s="1" t="s">
        <v>153</v>
      </c>
      <c r="C36" s="5" t="n">
        <v>134.91</v>
      </c>
      <c r="D36" s="9" t="n">
        <v>68</v>
      </c>
      <c r="E36" s="4" t="n">
        <v>135.1</v>
      </c>
      <c r="F36" s="4" t="n">
        <v>29.1</v>
      </c>
      <c r="G36" s="9" t="n">
        <v>41</v>
      </c>
      <c r="H36" s="5" t="n">
        <v>1.58</v>
      </c>
      <c r="I36" s="9" t="n">
        <v>40</v>
      </c>
      <c r="J36" s="5" t="n">
        <v>1.97</v>
      </c>
      <c r="K36" s="9" t="n">
        <v>37</v>
      </c>
      <c r="L36" s="5" t="n">
        <v>1.47</v>
      </c>
      <c r="M36" s="9" t="n">
        <v>4</v>
      </c>
      <c r="N36" s="5" t="n">
        <v>1.03</v>
      </c>
      <c r="O36" s="5" t="n">
        <v>2.7</v>
      </c>
      <c r="P36" s="9" t="n">
        <v>20</v>
      </c>
      <c r="Q36" s="1" t="s">
        <v>116</v>
      </c>
      <c r="R36" s="1" t="s">
        <v>112</v>
      </c>
    </row>
    <row r="37" s="1" customFormat="true" ht="15.75" hidden="false" customHeight="true" outlineLevel="0" collapsed="false">
      <c r="A37" s="1" t="s">
        <v>154</v>
      </c>
      <c r="B37" s="1" t="s">
        <v>154</v>
      </c>
      <c r="C37" s="5" t="n">
        <v>133.12</v>
      </c>
      <c r="D37" s="9" t="n">
        <v>66</v>
      </c>
      <c r="E37" s="4" t="n">
        <v>131.4</v>
      </c>
      <c r="F37" s="4" t="n">
        <v>17.8</v>
      </c>
      <c r="G37" s="9" t="n">
        <v>41</v>
      </c>
      <c r="H37" s="5" t="n">
        <v>2.1</v>
      </c>
      <c r="I37" s="9" t="n">
        <v>40</v>
      </c>
      <c r="J37" s="5" t="n">
        <v>2.38</v>
      </c>
      <c r="K37" s="9" t="n">
        <v>37</v>
      </c>
      <c r="L37" s="5" t="n">
        <v>2.1</v>
      </c>
      <c r="M37" s="9" t="n">
        <v>4</v>
      </c>
      <c r="N37" s="5" t="n">
        <v>1.1</v>
      </c>
      <c r="O37" s="5" t="n">
        <v>4.03</v>
      </c>
      <c r="P37" s="9" t="n">
        <v>20</v>
      </c>
      <c r="Q37" s="1" t="s">
        <v>118</v>
      </c>
      <c r="R37" s="1" t="s">
        <v>112</v>
      </c>
    </row>
    <row r="38" s="1" customFormat="true" ht="15.75" hidden="false" customHeight="true" outlineLevel="0" collapsed="false">
      <c r="A38" s="1" t="s">
        <v>155</v>
      </c>
      <c r="B38" s="1" t="s">
        <v>155</v>
      </c>
      <c r="C38" s="5" t="n">
        <v>130.2</v>
      </c>
      <c r="D38" s="9" t="n">
        <v>66</v>
      </c>
      <c r="E38" s="4" t="n">
        <v>130.1</v>
      </c>
      <c r="F38" s="4" t="n">
        <v>20.3</v>
      </c>
      <c r="G38" s="9" t="n">
        <v>41</v>
      </c>
      <c r="H38" s="5" t="n">
        <v>2.58</v>
      </c>
      <c r="I38" s="9" t="n">
        <v>39</v>
      </c>
      <c r="J38" s="5" t="n">
        <v>3.43</v>
      </c>
      <c r="K38" s="9" t="n">
        <v>37</v>
      </c>
      <c r="L38" s="5" t="n">
        <v>2.29</v>
      </c>
      <c r="M38" s="9" t="n">
        <v>4</v>
      </c>
      <c r="N38" s="5" t="n">
        <v>1.22</v>
      </c>
      <c r="O38" s="5" t="n">
        <v>5.31</v>
      </c>
      <c r="P38" s="9" t="n">
        <v>13</v>
      </c>
      <c r="Q38" s="1" t="s">
        <v>120</v>
      </c>
      <c r="R38" s="1" t="s">
        <v>112</v>
      </c>
    </row>
    <row r="39" s="1" customFormat="true" ht="15.75" hidden="false" customHeight="true" outlineLevel="0" collapsed="false">
      <c r="A39" s="1" t="s">
        <v>156</v>
      </c>
      <c r="B39" s="1" t="s">
        <v>156</v>
      </c>
      <c r="C39" s="5" t="n">
        <v>52.91</v>
      </c>
      <c r="D39" s="9" t="n">
        <v>66</v>
      </c>
      <c r="E39" s="4" t="n">
        <v>53.9</v>
      </c>
      <c r="F39" s="4" t="n">
        <v>6.4</v>
      </c>
      <c r="G39" s="9" t="n">
        <v>40</v>
      </c>
      <c r="H39" s="5" t="n">
        <v>1.44</v>
      </c>
      <c r="I39" s="9" t="n">
        <v>40</v>
      </c>
      <c r="J39" s="5" t="n">
        <v>1.8</v>
      </c>
      <c r="K39" s="9" t="n">
        <v>37</v>
      </c>
      <c r="L39" s="5" t="n">
        <v>1.35</v>
      </c>
      <c r="M39" s="9" t="n">
        <v>4</v>
      </c>
      <c r="N39" s="5" t="n">
        <v>1.02</v>
      </c>
      <c r="O39" s="5" t="n">
        <v>2.51</v>
      </c>
      <c r="P39" s="9" t="n">
        <v>13</v>
      </c>
      <c r="Q39" s="1" t="s">
        <v>146</v>
      </c>
      <c r="R39" s="1" t="s">
        <v>112</v>
      </c>
    </row>
    <row r="40" s="1" customFormat="true" ht="15.75" hidden="false" customHeight="true" outlineLevel="0" collapsed="false">
      <c r="A40" s="1" t="s">
        <v>157</v>
      </c>
      <c r="B40" s="1" t="s">
        <v>157</v>
      </c>
      <c r="C40" s="5" t="n">
        <v>53.57</v>
      </c>
      <c r="D40" s="9" t="n">
        <v>68</v>
      </c>
      <c r="E40" s="4" t="n">
        <v>53.2</v>
      </c>
      <c r="F40" s="4" t="n">
        <v>8.2</v>
      </c>
      <c r="G40" s="9" t="n">
        <v>41</v>
      </c>
      <c r="H40" s="5" t="n">
        <v>1.36</v>
      </c>
      <c r="I40" s="9" t="n">
        <v>40</v>
      </c>
      <c r="J40" s="5" t="n">
        <v>1.63</v>
      </c>
      <c r="K40" s="9" t="n">
        <v>37</v>
      </c>
      <c r="L40" s="5" t="n">
        <v>1.27</v>
      </c>
      <c r="M40" s="9" t="n">
        <v>4</v>
      </c>
      <c r="N40" s="5" t="n">
        <v>1.01</v>
      </c>
      <c r="O40" s="5" t="n">
        <v>2.06</v>
      </c>
      <c r="P40" s="9" t="n">
        <v>20</v>
      </c>
      <c r="Q40" s="1" t="s">
        <v>114</v>
      </c>
      <c r="R40" s="1" t="s">
        <v>112</v>
      </c>
    </row>
    <row r="41" s="1" customFormat="true" ht="15.75" hidden="false" customHeight="true" outlineLevel="0" collapsed="false">
      <c r="A41" s="1" t="s">
        <v>158</v>
      </c>
      <c r="B41" s="1" t="s">
        <v>158</v>
      </c>
      <c r="C41" s="5" t="n">
        <v>53.64</v>
      </c>
      <c r="D41" s="9" t="n">
        <v>63</v>
      </c>
      <c r="E41" s="4" t="n">
        <v>54.4</v>
      </c>
      <c r="F41" s="4" t="n">
        <v>6.5</v>
      </c>
      <c r="G41" s="9" t="n">
        <v>40</v>
      </c>
      <c r="H41" s="5" t="n">
        <v>1.47</v>
      </c>
      <c r="I41" s="9" t="n">
        <v>39</v>
      </c>
      <c r="J41" s="5" t="n">
        <v>1.76</v>
      </c>
      <c r="K41" s="9" t="n">
        <v>37</v>
      </c>
      <c r="L41" s="5" t="n">
        <v>1.34</v>
      </c>
      <c r="M41" s="9" t="n">
        <v>4</v>
      </c>
      <c r="N41" s="5" t="n">
        <v>1.02</v>
      </c>
      <c r="O41" s="5" t="n">
        <v>2.61</v>
      </c>
      <c r="P41" s="9" t="n">
        <v>13</v>
      </c>
      <c r="Q41" s="1" t="s">
        <v>116</v>
      </c>
      <c r="R41" s="1" t="s">
        <v>112</v>
      </c>
    </row>
    <row r="42" s="1" customFormat="true" ht="15.75" hidden="false" customHeight="true" outlineLevel="0" collapsed="false">
      <c r="A42" s="1" t="s">
        <v>159</v>
      </c>
      <c r="B42" s="1" t="s">
        <v>159</v>
      </c>
      <c r="C42" s="5" t="n">
        <v>53.63</v>
      </c>
      <c r="D42" s="9" t="n">
        <v>63</v>
      </c>
      <c r="E42" s="4" t="n">
        <v>53.5</v>
      </c>
      <c r="F42" s="4" t="n">
        <v>6.6</v>
      </c>
      <c r="G42" s="9" t="n">
        <v>39</v>
      </c>
      <c r="H42" s="5" t="n">
        <v>1.64</v>
      </c>
      <c r="I42" s="9" t="n">
        <v>39</v>
      </c>
      <c r="J42" s="5" t="n">
        <v>2.04</v>
      </c>
      <c r="K42" s="9" t="n">
        <v>37</v>
      </c>
      <c r="L42" s="5" t="n">
        <v>1.52</v>
      </c>
      <c r="M42" s="9" t="n">
        <v>4</v>
      </c>
      <c r="N42" s="5" t="n">
        <v>1.06</v>
      </c>
      <c r="O42" s="5" t="n">
        <v>3.19</v>
      </c>
      <c r="P42" s="9" t="n">
        <v>12</v>
      </c>
      <c r="Q42" s="1" t="s">
        <v>118</v>
      </c>
      <c r="R42" s="1" t="s">
        <v>112</v>
      </c>
    </row>
    <row r="43" s="1" customFormat="true" ht="15.75" hidden="false" customHeight="true" outlineLevel="0" collapsed="false">
      <c r="A43" s="1" t="s">
        <v>160</v>
      </c>
      <c r="B43" s="1" t="s">
        <v>160</v>
      </c>
      <c r="C43" s="5" t="n">
        <v>55.21</v>
      </c>
      <c r="D43" s="9" t="n">
        <v>71</v>
      </c>
      <c r="E43" s="4" t="n">
        <v>54.7</v>
      </c>
      <c r="F43" s="4" t="n">
        <v>8.5</v>
      </c>
      <c r="G43" s="9" t="n">
        <v>40</v>
      </c>
      <c r="H43" s="5" t="n">
        <v>1.91</v>
      </c>
      <c r="I43" s="9" t="n">
        <v>39</v>
      </c>
      <c r="J43" s="5" t="n">
        <v>2.13</v>
      </c>
      <c r="K43" s="9" t="n">
        <v>37</v>
      </c>
      <c r="L43" s="5" t="n">
        <v>2.01</v>
      </c>
      <c r="M43" s="9" t="n">
        <v>4</v>
      </c>
      <c r="N43" s="5" t="n">
        <v>1.15</v>
      </c>
      <c r="O43" s="5" t="n">
        <v>3.66</v>
      </c>
      <c r="P43" s="9" t="n">
        <v>12</v>
      </c>
      <c r="Q43" s="1" t="s">
        <v>120</v>
      </c>
      <c r="R43" s="1" t="s">
        <v>112</v>
      </c>
    </row>
    <row r="44" s="1" customFormat="true" ht="15.75" hidden="false" customHeight="true" outlineLevel="0" collapsed="false">
      <c r="A44" s="1" t="s">
        <v>161</v>
      </c>
      <c r="B44" s="1" t="s">
        <v>160</v>
      </c>
      <c r="C44" s="5" t="n">
        <v>55.21</v>
      </c>
      <c r="D44" s="9" t="n">
        <v>71</v>
      </c>
      <c r="E44" s="4" t="n">
        <v>54.7</v>
      </c>
      <c r="F44" s="4" t="n">
        <v>8.5</v>
      </c>
      <c r="G44" s="9" t="n">
        <v>40</v>
      </c>
      <c r="H44" s="5" t="n">
        <v>1.91</v>
      </c>
      <c r="I44" s="9" t="n">
        <v>39</v>
      </c>
      <c r="J44" s="5" t="n">
        <v>2.13</v>
      </c>
      <c r="K44" s="9" t="n">
        <v>37</v>
      </c>
      <c r="L44" s="5" t="n">
        <v>2.01</v>
      </c>
      <c r="M44" s="9" t="n">
        <v>4</v>
      </c>
      <c r="N44" s="5" t="n">
        <v>1.15</v>
      </c>
      <c r="O44" s="5" t="n">
        <v>3.66</v>
      </c>
      <c r="P44" s="9" t="n">
        <v>12</v>
      </c>
      <c r="Q44" s="1" t="s">
        <v>162</v>
      </c>
      <c r="R44" s="1" t="s">
        <v>112</v>
      </c>
    </row>
    <row r="45" s="1" customFormat="true" ht="15.75" hidden="false" customHeight="true" outlineLevel="0" collapsed="false">
      <c r="A45" s="1" t="s">
        <v>163</v>
      </c>
      <c r="B45" s="1" t="s">
        <v>163</v>
      </c>
      <c r="C45" s="5" t="n">
        <v>96.85</v>
      </c>
      <c r="D45" s="9" t="n">
        <v>68</v>
      </c>
      <c r="E45" s="4" t="n">
        <v>94.5</v>
      </c>
      <c r="F45" s="4" t="n">
        <v>11.9</v>
      </c>
      <c r="G45" s="9" t="n">
        <v>40</v>
      </c>
      <c r="H45" s="5" t="n">
        <v>1.38</v>
      </c>
      <c r="I45" s="9" t="n">
        <v>40</v>
      </c>
      <c r="J45" s="5" t="n">
        <v>1.6</v>
      </c>
      <c r="K45" s="9" t="n">
        <v>37</v>
      </c>
      <c r="L45" s="5" t="n">
        <v>1.35</v>
      </c>
      <c r="M45" s="9" t="n">
        <v>4</v>
      </c>
      <c r="N45" s="5" t="n">
        <v>1.01</v>
      </c>
      <c r="O45" s="5" t="n">
        <v>2.28</v>
      </c>
      <c r="P45" s="9" t="n">
        <v>20</v>
      </c>
      <c r="Q45" s="1" t="s">
        <v>146</v>
      </c>
      <c r="R45" s="1" t="s">
        <v>112</v>
      </c>
    </row>
    <row r="46" s="1" customFormat="true" ht="15.75" hidden="false" customHeight="true" outlineLevel="0" collapsed="false">
      <c r="A46" s="1" t="s">
        <v>164</v>
      </c>
      <c r="B46" s="1" t="s">
        <v>164</v>
      </c>
      <c r="C46" s="5" t="n">
        <v>93.61</v>
      </c>
      <c r="D46" s="9" t="n">
        <v>67</v>
      </c>
      <c r="E46" s="4" t="n">
        <v>93.1</v>
      </c>
      <c r="F46" s="4" t="n">
        <v>9.7</v>
      </c>
      <c r="G46" s="9" t="n">
        <v>39</v>
      </c>
      <c r="H46" s="5" t="n">
        <v>1.36</v>
      </c>
      <c r="I46" s="9" t="n">
        <v>40</v>
      </c>
      <c r="J46" s="5" t="n">
        <v>1.54</v>
      </c>
      <c r="K46" s="9" t="n">
        <v>37</v>
      </c>
      <c r="L46" s="5" t="n">
        <v>1.22</v>
      </c>
      <c r="M46" s="9" t="n">
        <v>4</v>
      </c>
      <c r="N46" s="5" t="n">
        <v>1.01</v>
      </c>
      <c r="O46" s="5" t="n">
        <v>2.41</v>
      </c>
      <c r="P46" s="9" t="n">
        <v>20</v>
      </c>
      <c r="Q46" s="1" t="s">
        <v>114</v>
      </c>
      <c r="R46" s="1" t="s">
        <v>112</v>
      </c>
    </row>
    <row r="47" s="1" customFormat="true" ht="15.75" hidden="false" customHeight="true" outlineLevel="0" collapsed="false">
      <c r="A47" s="1" t="s">
        <v>165</v>
      </c>
      <c r="B47" s="1" t="s">
        <v>165</v>
      </c>
      <c r="C47" s="5" t="n">
        <v>94.86</v>
      </c>
      <c r="D47" s="9" t="n">
        <v>67</v>
      </c>
      <c r="E47" s="4" t="n">
        <v>93.5</v>
      </c>
      <c r="F47" s="4" t="n">
        <v>9.1</v>
      </c>
      <c r="G47" s="9" t="n">
        <v>40</v>
      </c>
      <c r="H47" s="5" t="n">
        <v>1.37</v>
      </c>
      <c r="I47" s="9" t="n">
        <v>41</v>
      </c>
      <c r="J47" s="5" t="n">
        <v>1.63</v>
      </c>
      <c r="K47" s="9" t="n">
        <v>37</v>
      </c>
      <c r="L47" s="5" t="n">
        <v>1.32</v>
      </c>
      <c r="M47" s="9" t="n">
        <v>4</v>
      </c>
      <c r="N47" s="5" t="n">
        <v>1.01</v>
      </c>
      <c r="O47" s="5" t="n">
        <v>2.48</v>
      </c>
      <c r="P47" s="9" t="n">
        <v>20</v>
      </c>
      <c r="Q47" s="1" t="s">
        <v>116</v>
      </c>
      <c r="R47" s="1" t="s">
        <v>112</v>
      </c>
    </row>
    <row r="48" s="1" customFormat="true" ht="15.75" hidden="false" customHeight="true" outlineLevel="0" collapsed="false">
      <c r="A48" s="1" t="s">
        <v>166</v>
      </c>
      <c r="B48" s="1" t="s">
        <v>166</v>
      </c>
      <c r="C48" s="5" t="n">
        <v>95.52</v>
      </c>
      <c r="D48" s="9" t="n">
        <v>66</v>
      </c>
      <c r="E48" s="4" t="n">
        <v>94</v>
      </c>
      <c r="F48" s="4" t="n">
        <v>9.7</v>
      </c>
      <c r="G48" s="9" t="n">
        <v>40</v>
      </c>
      <c r="H48" s="5" t="n">
        <v>1.45</v>
      </c>
      <c r="I48" s="9" t="n">
        <v>39</v>
      </c>
      <c r="J48" s="5" t="n">
        <v>1.66</v>
      </c>
      <c r="K48" s="9" t="n">
        <v>38</v>
      </c>
      <c r="L48" s="5" t="n">
        <v>1.34</v>
      </c>
      <c r="M48" s="9" t="n">
        <v>4</v>
      </c>
      <c r="N48" s="5" t="n">
        <v>1.02</v>
      </c>
      <c r="O48" s="5" t="n">
        <v>2.8</v>
      </c>
      <c r="P48" s="9" t="n">
        <v>20</v>
      </c>
      <c r="Q48" s="1" t="s">
        <v>118</v>
      </c>
      <c r="R48" s="1" t="s">
        <v>112</v>
      </c>
    </row>
    <row r="49" s="1" customFormat="true" ht="15.75" hidden="false" customHeight="true" outlineLevel="0" collapsed="false">
      <c r="A49" s="1" t="s">
        <v>167</v>
      </c>
      <c r="B49" s="1" t="s">
        <v>167</v>
      </c>
      <c r="C49" s="5" t="n">
        <v>95.22</v>
      </c>
      <c r="D49" s="9" t="n">
        <v>66</v>
      </c>
      <c r="E49" s="4" t="n">
        <v>94.7</v>
      </c>
      <c r="F49" s="4" t="n">
        <v>8.4</v>
      </c>
      <c r="G49" s="9" t="n">
        <v>40</v>
      </c>
      <c r="H49" s="5" t="n">
        <v>1.68</v>
      </c>
      <c r="I49" s="9" t="n">
        <v>39</v>
      </c>
      <c r="J49" s="5" t="n">
        <v>1.94</v>
      </c>
      <c r="K49" s="9" t="n">
        <v>36</v>
      </c>
      <c r="L49" s="5" t="n">
        <v>1.57</v>
      </c>
      <c r="M49" s="9" t="n">
        <v>3</v>
      </c>
      <c r="N49" s="5" t="n">
        <v>1.08</v>
      </c>
      <c r="O49" s="5" t="n">
        <v>3.88</v>
      </c>
      <c r="P49" s="9" t="n">
        <v>20</v>
      </c>
      <c r="Q49" s="1" t="s">
        <v>120</v>
      </c>
      <c r="R49" s="1"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 min="1" style="1" width="26"/>
    <col collapsed="false" customWidth="true" hidden="false" outlineLevel="0" max="2" min="2" style="1" width="16"/>
    <col collapsed="false" customWidth="true" hidden="false" outlineLevel="0" max="3" min="3" style="1" width="14"/>
    <col collapsed="false" customWidth="true" hidden="false" outlineLevel="0" max="6" min="4" style="1" width="12"/>
    <col collapsed="false" customWidth="true" hidden="false" outlineLevel="0" max="7" min="7" style="1" width="14"/>
    <col collapsed="false" customWidth="true" hidden="false" outlineLevel="0" max="8" min="8" style="1" width="8"/>
    <col collapsed="false" customWidth="true" hidden="false" outlineLevel="0" max="9" min="9" style="1" width="14"/>
    <col collapsed="false" customWidth="true" hidden="false" outlineLevel="0" max="10" min="10" style="1" width="18"/>
    <col collapsed="false" customWidth="true" hidden="false" outlineLevel="0" max="11" min="11" style="1" width="16"/>
    <col collapsed="false" customWidth="true" hidden="false" outlineLevel="0" max="12" min="12" style="1" width="18"/>
  </cols>
  <sheetData>
    <row r="1" s="1" customFormat="true" ht="15" hidden="false" customHeight="true" outlineLevel="0" collapsed="false">
      <c r="A1" s="2" t="s">
        <v>168</v>
      </c>
    </row>
    <row r="2" s="1" customFormat="true" ht="15" hidden="false" customHeight="true" outlineLevel="0" collapsed="false">
      <c r="A2" s="2" t="s">
        <v>169</v>
      </c>
      <c r="B2" s="2" t="s">
        <v>170</v>
      </c>
      <c r="C2" s="2" t="s">
        <v>171</v>
      </c>
      <c r="D2" s="2" t="s">
        <v>172</v>
      </c>
      <c r="E2" s="2" t="s">
        <v>173</v>
      </c>
      <c r="F2" s="2" t="s">
        <v>174</v>
      </c>
      <c r="G2" s="2" t="s">
        <v>175</v>
      </c>
      <c r="H2" s="2" t="s">
        <v>176</v>
      </c>
      <c r="I2" s="2" t="s">
        <v>177</v>
      </c>
      <c r="J2" s="2" t="s">
        <v>178</v>
      </c>
      <c r="K2" s="2" t="s">
        <v>179</v>
      </c>
      <c r="L2" s="2" t="s">
        <v>180</v>
      </c>
    </row>
    <row r="3" s="1" customFormat="true" ht="15" hidden="false" customHeight="true" outlineLevel="0" collapsed="false">
      <c r="A3" s="1" t="s">
        <v>107</v>
      </c>
      <c r="B3" s="5" t="n">
        <f aca="false">Assumptions!$B$3*Assumptions!$B$4</f>
        <v>1.92333333333333</v>
      </c>
      <c r="C3" s="4" t="n">
        <f aca="false">Corpus!C3</f>
        <v>78.3</v>
      </c>
      <c r="D3" s="3" t="n">
        <f aca="false">Assumptions!$B$5/C3</f>
        <v>1</v>
      </c>
      <c r="E3" s="5" t="n">
        <f aca="false">B3*D3</f>
        <v>1.92333333333333</v>
      </c>
      <c r="F3" s="5" t="n">
        <f aca="false">Assumptions!$B$6</f>
        <v>1.05</v>
      </c>
      <c r="G3" s="5" t="n">
        <f aca="false">E3*F3</f>
        <v>2.0195</v>
      </c>
      <c r="H3" s="5" t="n">
        <f aca="false">IF(Corpus!R3="5x",Assumptions!$B$7,Assumptions!$B$8)</f>
        <v>1</v>
      </c>
      <c r="I3" s="5" t="n">
        <f aca="false">G3*H3</f>
        <v>2.0195</v>
      </c>
      <c r="J3" s="1" t="str">
        <f aca="false">Corpus!Q3</f>
        <v>None</v>
      </c>
      <c r="K3" s="5" t="n">
        <f aca="false">Corpus!H3</f>
        <v>1</v>
      </c>
      <c r="L3" s="5" t="n">
        <f aca="false">I3*K3</f>
        <v>2.0195</v>
      </c>
    </row>
    <row r="4" s="1" customFormat="true" ht="15" hidden="false" customHeight="true" outlineLevel="0" collapsed="false">
      <c r="A4" s="1" t="s">
        <v>110</v>
      </c>
      <c r="B4" s="5" t="n">
        <f aca="false">Assumptions!$B$3*Assumptions!$B$4</f>
        <v>1.92333333333333</v>
      </c>
      <c r="C4" s="4" t="n">
        <f aca="false">Corpus!C4</f>
        <v>60.78</v>
      </c>
      <c r="D4" s="3" t="n">
        <f aca="false">Assumptions!$B$5/C4</f>
        <v>1.28825271470879</v>
      </c>
      <c r="E4" s="5" t="n">
        <f aca="false">B4*D4</f>
        <v>2.47773938795656</v>
      </c>
      <c r="F4" s="5" t="n">
        <f aca="false">Assumptions!$B$6</f>
        <v>1.05</v>
      </c>
      <c r="G4" s="5" t="n">
        <f aca="false">E4*F4</f>
        <v>2.60162635735439</v>
      </c>
      <c r="H4" s="5" t="n">
        <f aca="false">IF(Corpus!R4="5x",Assumptions!$B$7,Assumptions!$B$8)</f>
        <v>2.99</v>
      </c>
      <c r="I4" s="5" t="n">
        <f aca="false">G4*H4</f>
        <v>7.77886280848963</v>
      </c>
      <c r="J4" s="1" t="str">
        <f aca="false">Corpus!Q4</f>
        <v>None</v>
      </c>
      <c r="K4" s="5" t="n">
        <f aca="false">Corpus!H4</f>
        <v>1</v>
      </c>
      <c r="L4" s="5" t="n">
        <f aca="false">I4*K4</f>
        <v>7.77886280848963</v>
      </c>
    </row>
    <row r="5" s="1" customFormat="true" ht="15" hidden="false" customHeight="true" outlineLevel="0" collapsed="false">
      <c r="A5" s="1" t="s">
        <v>113</v>
      </c>
      <c r="B5" s="5" t="n">
        <f aca="false">Assumptions!$B$3*Assumptions!$B$4</f>
        <v>1.92333333333333</v>
      </c>
      <c r="C5" s="4" t="n">
        <f aca="false">Corpus!C5</f>
        <v>61</v>
      </c>
      <c r="D5" s="3" t="n">
        <f aca="false">Assumptions!$B$5/C5</f>
        <v>1.28360655737705</v>
      </c>
      <c r="E5" s="5" t="n">
        <f aca="false">B5*D5</f>
        <v>2.46880327868852</v>
      </c>
      <c r="F5" s="5" t="n">
        <f aca="false">Assumptions!$B$6</f>
        <v>1.05</v>
      </c>
      <c r="G5" s="5" t="n">
        <f aca="false">E5*F5</f>
        <v>2.59224344262295</v>
      </c>
      <c r="H5" s="5" t="n">
        <f aca="false">IF(Corpus!R5="5x",Assumptions!$B$7,Assumptions!$B$8)</f>
        <v>2.99</v>
      </c>
      <c r="I5" s="5" t="n">
        <f aca="false">G5*H5</f>
        <v>7.75080789344262</v>
      </c>
      <c r="J5" s="1" t="str">
        <f aca="false">Corpus!Q5</f>
        <v>Low</v>
      </c>
      <c r="K5" s="5" t="n">
        <f aca="false">Corpus!H5</f>
        <v>2.23</v>
      </c>
      <c r="L5" s="5" t="n">
        <f aca="false">I5*K5</f>
        <v>17.2843016023771</v>
      </c>
    </row>
    <row r="6" s="1" customFormat="true" ht="15" hidden="false" customHeight="true" outlineLevel="0" collapsed="false">
      <c r="A6" s="1" t="s">
        <v>115</v>
      </c>
      <c r="B6" s="5" t="n">
        <f aca="false">Assumptions!$B$3*Assumptions!$B$4</f>
        <v>1.92333333333333</v>
      </c>
      <c r="C6" s="4" t="n">
        <f aca="false">Corpus!C6</f>
        <v>63.47</v>
      </c>
      <c r="D6" s="3" t="n">
        <f aca="false">Assumptions!$B$5/C6</f>
        <v>1.23365369465889</v>
      </c>
      <c r="E6" s="5" t="n">
        <f aca="false">B6*D6</f>
        <v>2.37272727272727</v>
      </c>
      <c r="F6" s="5" t="n">
        <f aca="false">Assumptions!$B$6</f>
        <v>1.05</v>
      </c>
      <c r="G6" s="5" t="n">
        <f aca="false">E6*F6</f>
        <v>2.49136363636364</v>
      </c>
      <c r="H6" s="5" t="n">
        <f aca="false">IF(Corpus!R6="5x",Assumptions!$B$7,Assumptions!$B$8)</f>
        <v>2.99</v>
      </c>
      <c r="I6" s="5" t="n">
        <f aca="false">G6*H6</f>
        <v>7.44917727272727</v>
      </c>
      <c r="J6" s="1" t="str">
        <f aca="false">Corpus!Q6</f>
        <v>Medium</v>
      </c>
      <c r="K6" s="5" t="n">
        <f aca="false">Corpus!H6</f>
        <v>3.84</v>
      </c>
      <c r="L6" s="5" t="n">
        <f aca="false">I6*K6</f>
        <v>28.6048407272727</v>
      </c>
    </row>
    <row r="7" s="1" customFormat="true" ht="15" hidden="false" customHeight="true" outlineLevel="0" collapsed="false">
      <c r="A7" s="1" t="s">
        <v>117</v>
      </c>
      <c r="B7" s="5" t="n">
        <f aca="false">Assumptions!$B$3*Assumptions!$B$4</f>
        <v>1.92333333333333</v>
      </c>
      <c r="C7" s="4" t="n">
        <f aca="false">Corpus!C7</f>
        <v>69</v>
      </c>
      <c r="D7" s="3" t="n">
        <f aca="false">Assumptions!$B$5/C7</f>
        <v>1.13478260869565</v>
      </c>
      <c r="E7" s="5" t="n">
        <f aca="false">B7*D7</f>
        <v>2.1825652173913</v>
      </c>
      <c r="F7" s="5" t="n">
        <f aca="false">Assumptions!$B$6</f>
        <v>1.05</v>
      </c>
      <c r="G7" s="5" t="n">
        <f aca="false">E7*F7</f>
        <v>2.29169347826087</v>
      </c>
      <c r="H7" s="5" t="n">
        <f aca="false">IF(Corpus!R7="5x",Assumptions!$B$7,Assumptions!$B$8)</f>
        <v>2.99</v>
      </c>
      <c r="I7" s="5" t="n">
        <f aca="false">G7*H7</f>
        <v>6.8521635</v>
      </c>
      <c r="J7" s="1" t="str">
        <f aca="false">Corpus!Q7</f>
        <v>High</v>
      </c>
      <c r="K7" s="5" t="n">
        <f aca="false">Corpus!H7</f>
        <v>6.12</v>
      </c>
      <c r="L7" s="5" t="n">
        <f aca="false">I7*K7</f>
        <v>41.93524062</v>
      </c>
    </row>
    <row r="8" s="1" customFormat="true" ht="15" hidden="false" customHeight="true" outlineLevel="0" collapsed="false">
      <c r="A8" s="1" t="s">
        <v>119</v>
      </c>
      <c r="B8" s="5" t="n">
        <f aca="false">Assumptions!$B$3*Assumptions!$B$4</f>
        <v>1.92333333333333</v>
      </c>
      <c r="C8" s="4" t="n">
        <f aca="false">Corpus!C8</f>
        <v>61.85</v>
      </c>
      <c r="D8" s="3" t="n">
        <f aca="false">Assumptions!$B$5/C8</f>
        <v>1.26596604688763</v>
      </c>
      <c r="E8" s="5" t="n">
        <f aca="false">B8*D8</f>
        <v>2.43487469684721</v>
      </c>
      <c r="F8" s="5" t="n">
        <f aca="false">Assumptions!$B$6</f>
        <v>1.05</v>
      </c>
      <c r="G8" s="5" t="n">
        <f aca="false">E8*F8</f>
        <v>2.55661843168957</v>
      </c>
      <c r="H8" s="5" t="n">
        <f aca="false">IF(Corpus!R8="5x",Assumptions!$B$7,Assumptions!$B$8)</f>
        <v>2.99</v>
      </c>
      <c r="I8" s="5" t="n">
        <f aca="false">G8*H8</f>
        <v>7.64428911075182</v>
      </c>
      <c r="J8" s="1" t="str">
        <f aca="false">Corpus!Q8</f>
        <v>xHigh</v>
      </c>
      <c r="K8" s="5" t="n">
        <f aca="false">Corpus!H8</f>
        <v>3.75</v>
      </c>
      <c r="L8" s="5" t="n">
        <f aca="false">I8*K8</f>
        <v>28.6660841653193</v>
      </c>
    </row>
    <row r="9" s="1" customFormat="true" ht="15" hidden="false" customHeight="true" outlineLevel="0" collapsed="false">
      <c r="A9" s="1" t="s">
        <v>121</v>
      </c>
      <c r="B9" s="5" t="n">
        <f aca="false">Assumptions!$B$3*Assumptions!$B$4</f>
        <v>1.92333333333333</v>
      </c>
      <c r="C9" s="4" t="n">
        <f aca="false">Corpus!C9</f>
        <v>60.3</v>
      </c>
      <c r="D9" s="3" t="n">
        <f aca="false">Assumptions!$B$5/C9</f>
        <v>1.29850746268657</v>
      </c>
      <c r="E9" s="5" t="n">
        <f aca="false">B9*D9</f>
        <v>2.49746268656716</v>
      </c>
      <c r="F9" s="5" t="n">
        <f aca="false">Assumptions!$B$6</f>
        <v>1.05</v>
      </c>
      <c r="G9" s="5" t="n">
        <f aca="false">E9*F9</f>
        <v>2.62233582089552</v>
      </c>
      <c r="H9" s="5" t="n">
        <f aca="false">IF(Corpus!R9="5x",Assumptions!$B$7,Assumptions!$B$8)</f>
        <v>2.99</v>
      </c>
      <c r="I9" s="5" t="n">
        <f aca="false">G9*H9</f>
        <v>7.84078410447761</v>
      </c>
      <c r="J9" s="1" t="str">
        <f aca="false">Corpus!Q9</f>
        <v>None</v>
      </c>
      <c r="K9" s="5" t="n">
        <f aca="false">Corpus!H9</f>
        <v>1</v>
      </c>
      <c r="L9" s="5" t="n">
        <f aca="false">I9*K9</f>
        <v>7.84078410447761</v>
      </c>
    </row>
    <row r="10" s="1" customFormat="true" ht="15" hidden="false" customHeight="true" outlineLevel="0" collapsed="false">
      <c r="A10" s="1" t="s">
        <v>123</v>
      </c>
      <c r="B10" s="5" t="n">
        <f aca="false">Assumptions!$B$3*Assumptions!$B$4</f>
        <v>1.92333333333333</v>
      </c>
      <c r="C10" s="4" t="n">
        <f aca="false">Corpus!C10</f>
        <v>57.53</v>
      </c>
      <c r="D10" s="3" t="n">
        <f aca="false">Assumptions!$B$5/C10</f>
        <v>1.36102902833304</v>
      </c>
      <c r="E10" s="5" t="n">
        <f aca="false">B10*D10</f>
        <v>2.61771249782722</v>
      </c>
      <c r="F10" s="5" t="n">
        <f aca="false">Assumptions!$B$6</f>
        <v>1.05</v>
      </c>
      <c r="G10" s="5" t="n">
        <f aca="false">E10*F10</f>
        <v>2.74859812271858</v>
      </c>
      <c r="H10" s="5" t="n">
        <f aca="false">IF(Corpus!R10="5x",Assumptions!$B$7,Assumptions!$B$8)</f>
        <v>2.99</v>
      </c>
      <c r="I10" s="5" t="n">
        <f aca="false">G10*H10</f>
        <v>8.21830838692856</v>
      </c>
      <c r="J10" s="1" t="str">
        <f aca="false">Corpus!Q10</f>
        <v>Low</v>
      </c>
      <c r="K10" s="5" t="n">
        <f aca="false">Corpus!H10</f>
        <v>1.67</v>
      </c>
      <c r="L10" s="5" t="n">
        <f aca="false">I10*K10</f>
        <v>13.7245750061707</v>
      </c>
    </row>
    <row r="11" s="1" customFormat="true" ht="15" hidden="false" customHeight="true" outlineLevel="0" collapsed="false">
      <c r="A11" s="1" t="s">
        <v>124</v>
      </c>
      <c r="B11" s="5" t="n">
        <f aca="false">Assumptions!$B$3*Assumptions!$B$4</f>
        <v>1.92333333333333</v>
      </c>
      <c r="C11" s="4" t="n">
        <f aca="false">Corpus!C11</f>
        <v>57.78</v>
      </c>
      <c r="D11" s="3" t="n">
        <f aca="false">Assumptions!$B$5/C11</f>
        <v>1.35514018691589</v>
      </c>
      <c r="E11" s="5" t="n">
        <f aca="false">B11*D11</f>
        <v>2.60638629283489</v>
      </c>
      <c r="F11" s="5" t="n">
        <f aca="false">Assumptions!$B$6</f>
        <v>1.05</v>
      </c>
      <c r="G11" s="5" t="n">
        <f aca="false">E11*F11</f>
        <v>2.73670560747664</v>
      </c>
      <c r="H11" s="5" t="n">
        <f aca="false">IF(Corpus!R11="5x",Assumptions!$B$7,Assumptions!$B$8)</f>
        <v>2.99</v>
      </c>
      <c r="I11" s="5" t="n">
        <f aca="false">G11*H11</f>
        <v>8.18274976635514</v>
      </c>
      <c r="J11" s="1" t="str">
        <f aca="false">Corpus!Q11</f>
        <v>Medium</v>
      </c>
      <c r="K11" s="5" t="n">
        <f aca="false">Corpus!H11</f>
        <v>1.84</v>
      </c>
      <c r="L11" s="5" t="n">
        <f aca="false">I11*K11</f>
        <v>15.0562595700935</v>
      </c>
    </row>
    <row r="12" s="1" customFormat="true" ht="15" hidden="false" customHeight="true" outlineLevel="0" collapsed="false">
      <c r="A12" s="1" t="s">
        <v>125</v>
      </c>
      <c r="B12" s="5" t="n">
        <f aca="false">Assumptions!$B$3*Assumptions!$B$4</f>
        <v>1.92333333333333</v>
      </c>
      <c r="C12" s="4" t="n">
        <f aca="false">Corpus!C12</f>
        <v>57.09</v>
      </c>
      <c r="D12" s="3" t="n">
        <f aca="false">Assumptions!$B$5/C12</f>
        <v>1.37151865475565</v>
      </c>
      <c r="E12" s="5" t="n">
        <f aca="false">B12*D12</f>
        <v>2.63788754598003</v>
      </c>
      <c r="F12" s="5" t="n">
        <f aca="false">Assumptions!$B$6</f>
        <v>1.05</v>
      </c>
      <c r="G12" s="5" t="n">
        <f aca="false">E12*F12</f>
        <v>2.76978192327903</v>
      </c>
      <c r="H12" s="5" t="n">
        <f aca="false">IF(Corpus!R12="5x",Assumptions!$B$7,Assumptions!$B$8)</f>
        <v>2.99</v>
      </c>
      <c r="I12" s="5" t="n">
        <f aca="false">G12*H12</f>
        <v>8.28164795060431</v>
      </c>
      <c r="J12" s="1" t="str">
        <f aca="false">Corpus!Q12</f>
        <v>High</v>
      </c>
      <c r="K12" s="5" t="n">
        <f aca="false">Corpus!H12</f>
        <v>2.03</v>
      </c>
      <c r="L12" s="5" t="n">
        <f aca="false">I12*K12</f>
        <v>16.8117453397268</v>
      </c>
    </row>
    <row r="13" s="1" customFormat="true" ht="15" hidden="false" customHeight="true" outlineLevel="0" collapsed="false">
      <c r="A13" s="1" t="s">
        <v>126</v>
      </c>
      <c r="B13" s="5" t="n">
        <f aca="false">Assumptions!$B$3*Assumptions!$B$4</f>
        <v>1.92333333333333</v>
      </c>
      <c r="C13" s="4" t="n">
        <f aca="false">Corpus!C13</f>
        <v>59.39</v>
      </c>
      <c r="D13" s="3" t="n">
        <f aca="false">Assumptions!$B$5/C13</f>
        <v>1.31840377167873</v>
      </c>
      <c r="E13" s="5" t="n">
        <f aca="false">B13*D13</f>
        <v>2.5357299208621</v>
      </c>
      <c r="F13" s="5" t="n">
        <f aca="false">Assumptions!$B$6</f>
        <v>1.05</v>
      </c>
      <c r="G13" s="5" t="n">
        <f aca="false">E13*F13</f>
        <v>2.6625164169052</v>
      </c>
      <c r="H13" s="5" t="n">
        <f aca="false">IF(Corpus!R13="5x",Assumptions!$B$7,Assumptions!$B$8)</f>
        <v>2.99</v>
      </c>
      <c r="I13" s="5" t="n">
        <f aca="false">G13*H13</f>
        <v>7.96092408654656</v>
      </c>
      <c r="J13" s="1" t="str">
        <f aca="false">Corpus!Q13</f>
        <v>xHigh</v>
      </c>
      <c r="K13" s="5" t="n">
        <f aca="false">Corpus!H13</f>
        <v>3.22</v>
      </c>
      <c r="L13" s="5" t="n">
        <f aca="false">I13*K13</f>
        <v>25.6341755586799</v>
      </c>
    </row>
    <row r="14" s="1" customFormat="true" ht="15" hidden="false" customHeight="true" outlineLevel="0" collapsed="false">
      <c r="A14" s="1" t="s">
        <v>127</v>
      </c>
      <c r="B14" s="5" t="n">
        <f aca="false">Assumptions!$B$3*Assumptions!$B$4</f>
        <v>1.92333333333333</v>
      </c>
      <c r="C14" s="4" t="n">
        <f aca="false">Corpus!C14</f>
        <v>156.58</v>
      </c>
      <c r="D14" s="3" t="n">
        <f aca="false">Assumptions!$B$5/C14</f>
        <v>0.500063865116873</v>
      </c>
      <c r="E14" s="5" t="n">
        <f aca="false">B14*D14</f>
        <v>0.961789500574786</v>
      </c>
      <c r="F14" s="5" t="n">
        <f aca="false">Assumptions!$B$6</f>
        <v>1.05</v>
      </c>
      <c r="G14" s="5" t="n">
        <f aca="false">E14*F14</f>
        <v>1.00987897560353</v>
      </c>
      <c r="H14" s="5" t="n">
        <f aca="false">IF(Corpus!R14="5x",Assumptions!$B$7,Assumptions!$B$8)</f>
        <v>2.99</v>
      </c>
      <c r="I14" s="5" t="n">
        <f aca="false">G14*H14</f>
        <v>3.01953813705454</v>
      </c>
      <c r="J14" s="1" t="str">
        <f aca="false">Corpus!Q14</f>
        <v>None</v>
      </c>
      <c r="K14" s="5" t="n">
        <f aca="false">Corpus!H14</f>
        <v>1</v>
      </c>
      <c r="L14" s="5" t="n">
        <f aca="false">I14*K14</f>
        <v>3.01953813705454</v>
      </c>
    </row>
    <row r="15" s="1" customFormat="true" ht="15" hidden="false" customHeight="true" outlineLevel="0" collapsed="false">
      <c r="A15" s="1" t="s">
        <v>129</v>
      </c>
      <c r="B15" s="5" t="n">
        <f aca="false">Assumptions!$B$3*Assumptions!$B$4</f>
        <v>1.92333333333333</v>
      </c>
      <c r="C15" s="4" t="n">
        <f aca="false">Corpus!C15</f>
        <v>153.07</v>
      </c>
      <c r="D15" s="3" t="n">
        <f aca="false">Assumptions!$B$5/C15</f>
        <v>0.511530672241458</v>
      </c>
      <c r="E15" s="5" t="n">
        <f aca="false">B15*D15</f>
        <v>0.983843992944405</v>
      </c>
      <c r="F15" s="5" t="n">
        <f aca="false">Assumptions!$B$6</f>
        <v>1.05</v>
      </c>
      <c r="G15" s="5" t="n">
        <f aca="false">E15*F15</f>
        <v>1.03303619259163</v>
      </c>
      <c r="H15" s="5" t="n">
        <f aca="false">IF(Corpus!R15="5x",Assumptions!$B$7,Assumptions!$B$8)</f>
        <v>2.99</v>
      </c>
      <c r="I15" s="5" t="n">
        <f aca="false">G15*H15</f>
        <v>3.08877821584896</v>
      </c>
      <c r="J15" s="1" t="str">
        <f aca="false">Corpus!Q15</f>
        <v>Low</v>
      </c>
      <c r="K15" s="5" t="n">
        <f aca="false">Corpus!H15</f>
        <v>1.61</v>
      </c>
      <c r="L15" s="5" t="n">
        <f aca="false">I15*K15</f>
        <v>4.97293292751682</v>
      </c>
    </row>
    <row r="16" s="1" customFormat="true" ht="15" hidden="false" customHeight="true" outlineLevel="0" collapsed="false">
      <c r="A16" s="1" t="s">
        <v>130</v>
      </c>
      <c r="B16" s="5" t="n">
        <f aca="false">Assumptions!$B$3*Assumptions!$B$4</f>
        <v>1.92333333333333</v>
      </c>
      <c r="C16" s="4" t="n">
        <f aca="false">Corpus!C16</f>
        <v>156</v>
      </c>
      <c r="D16" s="3" t="n">
        <f aca="false">Assumptions!$B$5/C16</f>
        <v>0.501923076923077</v>
      </c>
      <c r="E16" s="5" t="n">
        <f aca="false">B16*D16</f>
        <v>0.965365384615385</v>
      </c>
      <c r="F16" s="5" t="n">
        <f aca="false">Assumptions!$B$6</f>
        <v>1.05</v>
      </c>
      <c r="G16" s="5" t="n">
        <f aca="false">E16*F16</f>
        <v>1.01363365384615</v>
      </c>
      <c r="H16" s="5" t="n">
        <f aca="false">IF(Corpus!R16="5x",Assumptions!$B$7,Assumptions!$B$8)</f>
        <v>2.99</v>
      </c>
      <c r="I16" s="5" t="n">
        <f aca="false">G16*H16</f>
        <v>3.030764625</v>
      </c>
      <c r="J16" s="1" t="str">
        <f aca="false">Corpus!Q16</f>
        <v>Medium</v>
      </c>
      <c r="K16" s="5" t="n">
        <f aca="false">Corpus!H16</f>
        <v>1.83</v>
      </c>
      <c r="L16" s="5" t="n">
        <f aca="false">I16*K16</f>
        <v>5.54629926375</v>
      </c>
    </row>
    <row r="17" s="1" customFormat="true" ht="15" hidden="false" customHeight="true" outlineLevel="0" collapsed="false">
      <c r="A17" s="1" t="s">
        <v>131</v>
      </c>
      <c r="B17" s="5" t="n">
        <f aca="false">Assumptions!$B$3*Assumptions!$B$4</f>
        <v>1.92333333333333</v>
      </c>
      <c r="C17" s="4" t="n">
        <f aca="false">Corpus!C17</f>
        <v>157.47</v>
      </c>
      <c r="D17" s="3" t="n">
        <f aca="false">Assumptions!$B$5/C17</f>
        <v>0.497237569060774</v>
      </c>
      <c r="E17" s="5" t="n">
        <f aca="false">B17*D17</f>
        <v>0.956353591160221</v>
      </c>
      <c r="F17" s="5" t="n">
        <f aca="false">Assumptions!$B$6</f>
        <v>1.05</v>
      </c>
      <c r="G17" s="5" t="n">
        <f aca="false">E17*F17</f>
        <v>1.00417127071823</v>
      </c>
      <c r="H17" s="5" t="n">
        <f aca="false">IF(Corpus!R17="5x",Assumptions!$B$7,Assumptions!$B$8)</f>
        <v>2.99</v>
      </c>
      <c r="I17" s="5" t="n">
        <f aca="false">G17*H17</f>
        <v>3.00247209944751</v>
      </c>
      <c r="J17" s="1" t="str">
        <f aca="false">Corpus!Q17</f>
        <v>High</v>
      </c>
      <c r="K17" s="5" t="n">
        <f aca="false">Corpus!H17</f>
        <v>1.97</v>
      </c>
      <c r="L17" s="5" t="n">
        <f aca="false">I17*K17</f>
        <v>5.9148700359116</v>
      </c>
    </row>
    <row r="18" s="1" customFormat="true" ht="15" hidden="false" customHeight="true" outlineLevel="0" collapsed="false">
      <c r="A18" s="1" t="s">
        <v>132</v>
      </c>
      <c r="B18" s="5" t="n">
        <f aca="false">Assumptions!$B$3*Assumptions!$B$4</f>
        <v>1.92333333333333</v>
      </c>
      <c r="C18" s="4" t="n">
        <f aca="false">Corpus!C18</f>
        <v>154.37</v>
      </c>
      <c r="D18" s="3" t="n">
        <f aca="false">Assumptions!$B$5/C18</f>
        <v>0.507222906005053</v>
      </c>
      <c r="E18" s="5" t="n">
        <f aca="false">B18*D18</f>
        <v>0.975558722549718</v>
      </c>
      <c r="F18" s="5" t="n">
        <f aca="false">Assumptions!$B$6</f>
        <v>1.05</v>
      </c>
      <c r="G18" s="5" t="n">
        <f aca="false">E18*F18</f>
        <v>1.0243366586772</v>
      </c>
      <c r="H18" s="5" t="n">
        <f aca="false">IF(Corpus!R18="5x",Assumptions!$B$7,Assumptions!$B$8)</f>
        <v>2.99</v>
      </c>
      <c r="I18" s="5" t="n">
        <f aca="false">G18*H18</f>
        <v>3.06276660944484</v>
      </c>
      <c r="J18" s="1" t="str">
        <f aca="false">Corpus!Q18</f>
        <v>xHigh</v>
      </c>
      <c r="K18" s="5" t="n">
        <f aca="false">Corpus!H18</f>
        <v>3.7</v>
      </c>
      <c r="L18" s="5" t="n">
        <f aca="false">I18*K18</f>
        <v>11.3322364549459</v>
      </c>
    </row>
    <row r="19" s="1" customFormat="true" ht="15" hidden="false" customHeight="true" outlineLevel="0" collapsed="false">
      <c r="A19" s="1" t="s">
        <v>133</v>
      </c>
      <c r="B19" s="5" t="n">
        <f aca="false">Assumptions!$B$3*Assumptions!$B$4</f>
        <v>1.92333333333333</v>
      </c>
      <c r="C19" s="4" t="n">
        <f aca="false">Corpus!C19</f>
        <v>145.41</v>
      </c>
      <c r="D19" s="3" t="n">
        <f aca="false">Assumptions!$B$5/C19</f>
        <v>0.538477408706416</v>
      </c>
      <c r="E19" s="5" t="n">
        <f aca="false">B19*D19</f>
        <v>1.03567154941201</v>
      </c>
      <c r="F19" s="5" t="n">
        <f aca="false">Assumptions!$B$6</f>
        <v>1.05</v>
      </c>
      <c r="G19" s="5" t="n">
        <f aca="false">E19*F19</f>
        <v>1.08745512688261</v>
      </c>
      <c r="H19" s="5" t="n">
        <f aca="false">IF(Corpus!R19="5x",Assumptions!$B$7,Assumptions!$B$8)</f>
        <v>2.99</v>
      </c>
      <c r="I19" s="5" t="n">
        <f aca="false">G19*H19</f>
        <v>3.251490829379</v>
      </c>
      <c r="J19" s="1" t="str">
        <f aca="false">Corpus!Q19</f>
        <v>None</v>
      </c>
      <c r="K19" s="5" t="n">
        <f aca="false">Corpus!H19</f>
        <v>1</v>
      </c>
      <c r="L19" s="5" t="n">
        <f aca="false">I19*K19</f>
        <v>3.251490829379</v>
      </c>
    </row>
    <row r="20" s="1" customFormat="true" ht="15" hidden="false" customHeight="true" outlineLevel="0" collapsed="false">
      <c r="A20" s="1" t="s">
        <v>135</v>
      </c>
      <c r="B20" s="5" t="n">
        <f aca="false">Assumptions!$B$3*Assumptions!$B$4</f>
        <v>1.92333333333333</v>
      </c>
      <c r="C20" s="4" t="n">
        <f aca="false">Corpus!C20</f>
        <v>138.64</v>
      </c>
      <c r="D20" s="3" t="n">
        <f aca="false">Assumptions!$B$5/C20</f>
        <v>0.564772071552222</v>
      </c>
      <c r="E20" s="5" t="n">
        <f aca="false">B20*D20</f>
        <v>1.08624495095211</v>
      </c>
      <c r="F20" s="5" t="n">
        <f aca="false">Assumptions!$B$6</f>
        <v>1.05</v>
      </c>
      <c r="G20" s="5" t="n">
        <f aca="false">E20*F20</f>
        <v>1.14055719849971</v>
      </c>
      <c r="H20" s="5" t="n">
        <f aca="false">IF(Corpus!R20="5x",Assumptions!$B$7,Assumptions!$B$8)</f>
        <v>2.99</v>
      </c>
      <c r="I20" s="5" t="n">
        <f aca="false">G20*H20</f>
        <v>3.41026602351414</v>
      </c>
      <c r="J20" s="1" t="str">
        <f aca="false">Corpus!Q20</f>
        <v>Low</v>
      </c>
      <c r="K20" s="5" t="n">
        <f aca="false">Corpus!H20</f>
        <v>1.44</v>
      </c>
      <c r="L20" s="5" t="n">
        <f aca="false">I20*K20</f>
        <v>4.91078307386036</v>
      </c>
    </row>
    <row r="21" s="1" customFormat="true" ht="15.75" hidden="false" customHeight="true" outlineLevel="0" collapsed="false">
      <c r="A21" s="1" t="s">
        <v>136</v>
      </c>
      <c r="B21" s="5" t="n">
        <f aca="false">Assumptions!$B$3*Assumptions!$B$4</f>
        <v>1.92333333333333</v>
      </c>
      <c r="C21" s="4" t="n">
        <f aca="false">Corpus!C21</f>
        <v>140.63</v>
      </c>
      <c r="D21" s="3" t="n">
        <f aca="false">Assumptions!$B$5/C21</f>
        <v>0.556780203370547</v>
      </c>
      <c r="E21" s="5" t="n">
        <f aca="false">B21*D21</f>
        <v>1.07087392448269</v>
      </c>
      <c r="F21" s="5" t="n">
        <f aca="false">Assumptions!$B$6</f>
        <v>1.05</v>
      </c>
      <c r="G21" s="5" t="n">
        <f aca="false">E21*F21</f>
        <v>1.12441762070682</v>
      </c>
      <c r="H21" s="5" t="n">
        <f aca="false">IF(Corpus!R21="5x",Assumptions!$B$7,Assumptions!$B$8)</f>
        <v>2.99</v>
      </c>
      <c r="I21" s="5" t="n">
        <f aca="false">G21*H21</f>
        <v>3.36200868591339</v>
      </c>
      <c r="J21" s="1" t="str">
        <f aca="false">Corpus!Q21</f>
        <v>Medium</v>
      </c>
      <c r="K21" s="5" t="n">
        <f aca="false">Corpus!H21</f>
        <v>1.67</v>
      </c>
      <c r="L21" s="5" t="n">
        <f aca="false">I21*K21</f>
        <v>5.61455450547536</v>
      </c>
    </row>
    <row r="22" s="1" customFormat="true" ht="15.75" hidden="false" customHeight="true" outlineLevel="0" collapsed="false">
      <c r="A22" s="1" t="s">
        <v>137</v>
      </c>
      <c r="B22" s="5" t="n">
        <f aca="false">Assumptions!$B$3*Assumptions!$B$4</f>
        <v>1.92333333333333</v>
      </c>
      <c r="C22" s="4" t="n">
        <f aca="false">Corpus!C22</f>
        <v>142.46</v>
      </c>
      <c r="D22" s="3" t="n">
        <f aca="false">Assumptions!$B$5/C22</f>
        <v>0.549627965744771</v>
      </c>
      <c r="E22" s="5" t="n">
        <f aca="false">B22*D22</f>
        <v>1.05711778744911</v>
      </c>
      <c r="F22" s="5" t="n">
        <f aca="false">Assumptions!$B$6</f>
        <v>1.05</v>
      </c>
      <c r="G22" s="5" t="n">
        <f aca="false">E22*F22</f>
        <v>1.10997367682156</v>
      </c>
      <c r="H22" s="5" t="n">
        <f aca="false">IF(Corpus!R22="5x",Assumptions!$B$7,Assumptions!$B$8)</f>
        <v>2.99</v>
      </c>
      <c r="I22" s="5" t="n">
        <f aca="false">G22*H22</f>
        <v>3.31882129369648</v>
      </c>
      <c r="J22" s="1" t="str">
        <f aca="false">Corpus!Q22</f>
        <v>High</v>
      </c>
      <c r="K22" s="5" t="n">
        <f aca="false">Corpus!H22</f>
        <v>2.91</v>
      </c>
      <c r="L22" s="5" t="n">
        <f aca="false">I22*K22</f>
        <v>9.65776996465675</v>
      </c>
    </row>
    <row r="23" s="1" customFormat="true" ht="15.75" hidden="false" customHeight="true" outlineLevel="0" collapsed="false">
      <c r="A23" s="1" t="s">
        <v>138</v>
      </c>
      <c r="B23" s="5" t="n">
        <f aca="false">Assumptions!$B$3*Assumptions!$B$4</f>
        <v>1.92333333333333</v>
      </c>
      <c r="C23" s="4" t="n">
        <f aca="false">Corpus!C23</f>
        <v>145.78</v>
      </c>
      <c r="D23" s="3" t="n">
        <f aca="false">Assumptions!$B$5/C23</f>
        <v>0.537110714775689</v>
      </c>
      <c r="E23" s="5" t="n">
        <f aca="false">B23*D23</f>
        <v>1.03304294141858</v>
      </c>
      <c r="F23" s="5" t="n">
        <f aca="false">Assumptions!$B$6</f>
        <v>1.05</v>
      </c>
      <c r="G23" s="5" t="n">
        <f aca="false">E23*F23</f>
        <v>1.0846950884895</v>
      </c>
      <c r="H23" s="5" t="n">
        <f aca="false">IF(Corpus!R23="5x",Assumptions!$B$7,Assumptions!$B$8)</f>
        <v>2.99</v>
      </c>
      <c r="I23" s="5" t="n">
        <f aca="false">G23*H23</f>
        <v>3.24323831458362</v>
      </c>
      <c r="J23" s="1" t="str">
        <f aca="false">Corpus!Q23</f>
        <v>xHigh</v>
      </c>
      <c r="K23" s="5" t="n">
        <f aca="false">Corpus!H23</f>
        <v>12.49</v>
      </c>
      <c r="L23" s="5" t="n">
        <f aca="false">I23*K23</f>
        <v>40.5080465491494</v>
      </c>
    </row>
    <row r="24" s="1" customFormat="true" ht="15.75" hidden="false" customHeight="true" outlineLevel="0" collapsed="false">
      <c r="A24" s="1" t="s">
        <v>139</v>
      </c>
      <c r="B24" s="5" t="n">
        <f aca="false">Assumptions!$B$3*Assumptions!$B$4</f>
        <v>1.92333333333333</v>
      </c>
      <c r="C24" s="4" t="n">
        <f aca="false">Corpus!C24</f>
        <v>85.94</v>
      </c>
      <c r="D24" s="3" t="n">
        <f aca="false">Assumptions!$B$5/C24</f>
        <v>0.911100767977659</v>
      </c>
      <c r="E24" s="5" t="n">
        <f aca="false">B24*D24</f>
        <v>1.75235047707703</v>
      </c>
      <c r="F24" s="5" t="n">
        <f aca="false">Assumptions!$B$6</f>
        <v>1.05</v>
      </c>
      <c r="G24" s="5" t="n">
        <f aca="false">E24*F24</f>
        <v>1.83996800093088</v>
      </c>
      <c r="H24" s="5" t="n">
        <f aca="false">IF(Corpus!R24="5x",Assumptions!$B$7,Assumptions!$B$8)</f>
        <v>2.99</v>
      </c>
      <c r="I24" s="5" t="n">
        <f aca="false">G24*H24</f>
        <v>5.50150432278334</v>
      </c>
      <c r="J24" s="1" t="str">
        <f aca="false">Corpus!Q24</f>
        <v>None</v>
      </c>
      <c r="K24" s="5" t="n">
        <f aca="false">Corpus!H24</f>
        <v>1</v>
      </c>
      <c r="L24" s="5" t="n">
        <f aca="false">I24*K24</f>
        <v>5.50150432278334</v>
      </c>
    </row>
    <row r="25" s="1" customFormat="true" ht="15.75" hidden="false" customHeight="true" outlineLevel="0" collapsed="false">
      <c r="A25" s="1" t="s">
        <v>141</v>
      </c>
      <c r="B25" s="5" t="n">
        <f aca="false">Assumptions!$B$3*Assumptions!$B$4</f>
        <v>1.92333333333333</v>
      </c>
      <c r="C25" s="4" t="n">
        <f aca="false">Corpus!C25</f>
        <v>91.65</v>
      </c>
      <c r="D25" s="3" t="n">
        <f aca="false">Assumptions!$B$5/C25</f>
        <v>0.854337152209493</v>
      </c>
      <c r="E25" s="5" t="n">
        <f aca="false">B25*D25</f>
        <v>1.64317512274959</v>
      </c>
      <c r="F25" s="5" t="n">
        <f aca="false">Assumptions!$B$6</f>
        <v>1.05</v>
      </c>
      <c r="G25" s="5" t="n">
        <f aca="false">E25*F25</f>
        <v>1.72533387888707</v>
      </c>
      <c r="H25" s="5" t="n">
        <f aca="false">IF(Corpus!R25="5x",Assumptions!$B$7,Assumptions!$B$8)</f>
        <v>2.99</v>
      </c>
      <c r="I25" s="5" t="n">
        <f aca="false">G25*H25</f>
        <v>5.15874829787234</v>
      </c>
      <c r="J25" s="1" t="str">
        <f aca="false">Corpus!Q25</f>
        <v>Low</v>
      </c>
      <c r="K25" s="5" t="n">
        <f aca="false">Corpus!H25</f>
        <v>1.35</v>
      </c>
      <c r="L25" s="5" t="n">
        <f aca="false">I25*K25</f>
        <v>6.96431020212766</v>
      </c>
    </row>
    <row r="26" s="1" customFormat="true" ht="15.75" hidden="false" customHeight="true" outlineLevel="0" collapsed="false">
      <c r="A26" s="1" t="s">
        <v>142</v>
      </c>
      <c r="B26" s="5" t="n">
        <f aca="false">Assumptions!$B$3*Assumptions!$B$4</f>
        <v>1.92333333333333</v>
      </c>
      <c r="C26" s="4" t="n">
        <f aca="false">Corpus!C26</f>
        <v>94.25</v>
      </c>
      <c r="D26" s="3" t="n">
        <f aca="false">Assumptions!$B$5/C26</f>
        <v>0.830769230769231</v>
      </c>
      <c r="E26" s="5" t="n">
        <f aca="false">B26*D26</f>
        <v>1.59784615384615</v>
      </c>
      <c r="F26" s="5" t="n">
        <f aca="false">Assumptions!$B$6</f>
        <v>1.05</v>
      </c>
      <c r="G26" s="5" t="n">
        <f aca="false">E26*F26</f>
        <v>1.67773846153846</v>
      </c>
      <c r="H26" s="5" t="n">
        <f aca="false">IF(Corpus!R26="5x",Assumptions!$B$7,Assumptions!$B$8)</f>
        <v>2.99</v>
      </c>
      <c r="I26" s="5" t="n">
        <f aca="false">G26*H26</f>
        <v>5.016438</v>
      </c>
      <c r="J26" s="1" t="str">
        <f aca="false">Corpus!Q26</f>
        <v>Medium</v>
      </c>
      <c r="K26" s="5" t="n">
        <f aca="false">Corpus!H26</f>
        <v>1.75</v>
      </c>
      <c r="L26" s="5" t="n">
        <f aca="false">I26*K26</f>
        <v>8.7787665</v>
      </c>
    </row>
    <row r="27" s="1" customFormat="true" ht="15.75" hidden="false" customHeight="true" outlineLevel="0" collapsed="false">
      <c r="A27" s="1" t="s">
        <v>143</v>
      </c>
      <c r="B27" s="5" t="n">
        <f aca="false">Assumptions!$B$3*Assumptions!$B$4</f>
        <v>1.92333333333333</v>
      </c>
      <c r="C27" s="4" t="n">
        <f aca="false">Corpus!C27</f>
        <v>92.07</v>
      </c>
      <c r="D27" s="3" t="n">
        <f aca="false">Assumptions!$B$5/C27</f>
        <v>0.850439882697947</v>
      </c>
      <c r="E27" s="5" t="n">
        <f aca="false">B27*D27</f>
        <v>1.63567937438905</v>
      </c>
      <c r="F27" s="5" t="n">
        <f aca="false">Assumptions!$B$6</f>
        <v>1.05</v>
      </c>
      <c r="G27" s="5" t="n">
        <f aca="false">E27*F27</f>
        <v>1.7174633431085</v>
      </c>
      <c r="H27" s="5" t="n">
        <f aca="false">IF(Corpus!R27="5x",Assumptions!$B$7,Assumptions!$B$8)</f>
        <v>2.99</v>
      </c>
      <c r="I27" s="5" t="n">
        <f aca="false">G27*H27</f>
        <v>5.13521539589443</v>
      </c>
      <c r="J27" s="1" t="str">
        <f aca="false">Corpus!Q27</f>
        <v>High</v>
      </c>
      <c r="K27" s="5" t="n">
        <f aca="false">Corpus!H27</f>
        <v>2.2</v>
      </c>
      <c r="L27" s="5" t="n">
        <f aca="false">I27*K27</f>
        <v>11.2974738709677</v>
      </c>
    </row>
    <row r="28" s="1" customFormat="true" ht="15.75" hidden="false" customHeight="true" outlineLevel="0" collapsed="false">
      <c r="A28" s="1" t="s">
        <v>144</v>
      </c>
      <c r="B28" s="5" t="n">
        <f aca="false">Assumptions!$B$3*Assumptions!$B$4</f>
        <v>1.92333333333333</v>
      </c>
      <c r="C28" s="4" t="n">
        <f aca="false">Corpus!C28</f>
        <v>95.16</v>
      </c>
      <c r="D28" s="3" t="n">
        <f aca="false">Assumptions!$B$5/C28</f>
        <v>0.822824716267339</v>
      </c>
      <c r="E28" s="5" t="n">
        <f aca="false">B28*D28</f>
        <v>1.58256620428752</v>
      </c>
      <c r="F28" s="5" t="n">
        <f aca="false">Assumptions!$B$6</f>
        <v>1.05</v>
      </c>
      <c r="G28" s="5" t="n">
        <f aca="false">E28*F28</f>
        <v>1.66169451450189</v>
      </c>
      <c r="H28" s="5" t="n">
        <f aca="false">IF(Corpus!R28="5x",Assumptions!$B$7,Assumptions!$B$8)</f>
        <v>2.99</v>
      </c>
      <c r="I28" s="5" t="n">
        <f aca="false">G28*H28</f>
        <v>4.96846659836066</v>
      </c>
      <c r="J28" s="1" t="str">
        <f aca="false">Corpus!Q28</f>
        <v>xHigh</v>
      </c>
      <c r="K28" s="5" t="n">
        <f aca="false">Corpus!H28</f>
        <v>3.89</v>
      </c>
      <c r="L28" s="5" t="n">
        <f aca="false">I28*K28</f>
        <v>19.327335067623</v>
      </c>
    </row>
    <row r="29" s="1" customFormat="true" ht="15.75" hidden="false" customHeight="true" outlineLevel="0" collapsed="false">
      <c r="A29" s="1" t="s">
        <v>145</v>
      </c>
      <c r="B29" s="5" t="n">
        <f aca="false">Assumptions!$B$3*Assumptions!$B$4</f>
        <v>1.92333333333333</v>
      </c>
      <c r="C29" s="4" t="n">
        <f aca="false">Corpus!C29</f>
        <v>59.88</v>
      </c>
      <c r="D29" s="3" t="n">
        <f aca="false">Assumptions!$B$5/C29</f>
        <v>1.30761523046092</v>
      </c>
      <c r="E29" s="5" t="n">
        <f aca="false">B29*D29</f>
        <v>2.51497995991984</v>
      </c>
      <c r="F29" s="5" t="n">
        <f aca="false">Assumptions!$B$6</f>
        <v>1.05</v>
      </c>
      <c r="G29" s="5" t="n">
        <f aca="false">E29*F29</f>
        <v>2.64072895791583</v>
      </c>
      <c r="H29" s="5" t="n">
        <f aca="false">IF(Corpus!R29="5x",Assumptions!$B$7,Assumptions!$B$8)</f>
        <v>2.99</v>
      </c>
      <c r="I29" s="5" t="n">
        <f aca="false">G29*H29</f>
        <v>7.89577958416834</v>
      </c>
      <c r="J29" s="1" t="str">
        <f aca="false">Corpus!Q29</f>
        <v>Minimal (measured)</v>
      </c>
      <c r="K29" s="5" t="n">
        <f aca="false">Corpus!H29</f>
        <v>1.71</v>
      </c>
      <c r="L29" s="5" t="n">
        <f aca="false">I29*K29</f>
        <v>13.5017830889279</v>
      </c>
    </row>
    <row r="30" s="1" customFormat="true" ht="15.75" hidden="false" customHeight="true" outlineLevel="0" collapsed="false">
      <c r="A30" s="1" t="s">
        <v>147</v>
      </c>
      <c r="B30" s="5" t="n">
        <f aca="false">Assumptions!$B$3*Assumptions!$B$4</f>
        <v>1.92333333333333</v>
      </c>
      <c r="C30" s="4" t="n">
        <f aca="false">Corpus!C30</f>
        <v>61.38</v>
      </c>
      <c r="D30" s="3" t="n">
        <f aca="false">Assumptions!$B$5/C30</f>
        <v>1.27565982404692</v>
      </c>
      <c r="E30" s="5" t="n">
        <f aca="false">B30*D30</f>
        <v>2.45351906158358</v>
      </c>
      <c r="F30" s="5" t="n">
        <f aca="false">Assumptions!$B$6</f>
        <v>1.05</v>
      </c>
      <c r="G30" s="5" t="n">
        <f aca="false">E30*F30</f>
        <v>2.57619501466276</v>
      </c>
      <c r="H30" s="5" t="n">
        <f aca="false">IF(Corpus!R30="5x",Assumptions!$B$7,Assumptions!$B$8)</f>
        <v>2.99</v>
      </c>
      <c r="I30" s="5" t="n">
        <f aca="false">G30*H30</f>
        <v>7.70282309384164</v>
      </c>
      <c r="J30" s="1" t="str">
        <f aca="false">Corpus!Q30</f>
        <v>Low</v>
      </c>
      <c r="K30" s="5" t="n">
        <f aca="false">Corpus!H30</f>
        <v>1.45</v>
      </c>
      <c r="L30" s="5" t="n">
        <f aca="false">I30*K30</f>
        <v>11.1690934860704</v>
      </c>
    </row>
    <row r="31" s="1" customFormat="true" ht="15.75" hidden="false" customHeight="true" outlineLevel="0" collapsed="false">
      <c r="A31" s="1" t="s">
        <v>148</v>
      </c>
      <c r="B31" s="5" t="n">
        <f aca="false">Assumptions!$B$3*Assumptions!$B$4</f>
        <v>1.92333333333333</v>
      </c>
      <c r="C31" s="4" t="n">
        <f aca="false">Corpus!C31</f>
        <v>60.89</v>
      </c>
      <c r="D31" s="3" t="n">
        <f aca="false">Assumptions!$B$5/C31</f>
        <v>1.2859254393168</v>
      </c>
      <c r="E31" s="5" t="n">
        <f aca="false">B31*D31</f>
        <v>2.47326326161931</v>
      </c>
      <c r="F31" s="5" t="n">
        <f aca="false">Assumptions!$B$6</f>
        <v>1.05</v>
      </c>
      <c r="G31" s="5" t="n">
        <f aca="false">E31*F31</f>
        <v>2.59692642470028</v>
      </c>
      <c r="H31" s="5" t="n">
        <f aca="false">IF(Corpus!R31="5x",Assumptions!$B$7,Assumptions!$B$8)</f>
        <v>2.99</v>
      </c>
      <c r="I31" s="5" t="n">
        <f aca="false">G31*H31</f>
        <v>7.76481000985384</v>
      </c>
      <c r="J31" s="1" t="str">
        <f aca="false">Corpus!Q31</f>
        <v>Medium</v>
      </c>
      <c r="K31" s="5" t="n">
        <f aca="false">Corpus!H31</f>
        <v>1.69</v>
      </c>
      <c r="L31" s="5" t="n">
        <f aca="false">I31*K31</f>
        <v>13.122528916653</v>
      </c>
    </row>
    <row r="32" s="1" customFormat="true" ht="15.75" hidden="false" customHeight="true" outlineLevel="0" collapsed="false">
      <c r="A32" s="1" t="s">
        <v>149</v>
      </c>
      <c r="B32" s="5" t="n">
        <f aca="false">Assumptions!$B$3*Assumptions!$B$4</f>
        <v>1.92333333333333</v>
      </c>
      <c r="C32" s="4" t="n">
        <f aca="false">Corpus!C32</f>
        <v>60.69</v>
      </c>
      <c r="D32" s="3" t="n">
        <f aca="false">Assumptions!$B$5/C32</f>
        <v>1.29016312407316</v>
      </c>
      <c r="E32" s="5" t="n">
        <f aca="false">B32*D32</f>
        <v>2.48141374196738</v>
      </c>
      <c r="F32" s="5" t="n">
        <f aca="false">Assumptions!$B$6</f>
        <v>1.05</v>
      </c>
      <c r="G32" s="5" t="n">
        <f aca="false">E32*F32</f>
        <v>2.60548442906574</v>
      </c>
      <c r="H32" s="5" t="n">
        <f aca="false">IF(Corpus!R32="5x",Assumptions!$B$7,Assumptions!$B$8)</f>
        <v>2.99</v>
      </c>
      <c r="I32" s="5" t="n">
        <f aca="false">G32*H32</f>
        <v>7.79039844290658</v>
      </c>
      <c r="J32" s="1" t="str">
        <f aca="false">Corpus!Q32</f>
        <v>High</v>
      </c>
      <c r="K32" s="5" t="n">
        <f aca="false">Corpus!H32</f>
        <v>2.39</v>
      </c>
      <c r="L32" s="5" t="n">
        <f aca="false">I32*K32</f>
        <v>18.6190522785467</v>
      </c>
    </row>
    <row r="33" s="1" customFormat="true" ht="15.75" hidden="false" customHeight="true" outlineLevel="0" collapsed="false">
      <c r="A33" s="1" t="s">
        <v>150</v>
      </c>
      <c r="B33" s="5" t="n">
        <f aca="false">Assumptions!$B$3*Assumptions!$B$4</f>
        <v>1.92333333333333</v>
      </c>
      <c r="C33" s="4" t="n">
        <f aca="false">Corpus!C33</f>
        <v>59.91</v>
      </c>
      <c r="D33" s="3" t="n">
        <f aca="false">Assumptions!$B$5/C33</f>
        <v>1.30696044066099</v>
      </c>
      <c r="E33" s="5" t="n">
        <f aca="false">B33*D33</f>
        <v>2.51372058087131</v>
      </c>
      <c r="F33" s="5" t="n">
        <f aca="false">Assumptions!$B$6</f>
        <v>1.05</v>
      </c>
      <c r="G33" s="5" t="n">
        <f aca="false">E33*F33</f>
        <v>2.63940660991487</v>
      </c>
      <c r="H33" s="5" t="n">
        <f aca="false">IF(Corpus!R33="5x",Assumptions!$B$7,Assumptions!$B$8)</f>
        <v>2.99</v>
      </c>
      <c r="I33" s="5" t="n">
        <f aca="false">G33*H33</f>
        <v>7.89182576364547</v>
      </c>
      <c r="J33" s="1" t="str">
        <f aca="false">Corpus!Q33</f>
        <v>xHigh</v>
      </c>
      <c r="K33" s="5" t="n">
        <f aca="false">Corpus!H33</f>
        <v>2.46</v>
      </c>
      <c r="L33" s="5" t="n">
        <f aca="false">I33*K33</f>
        <v>19.4138913785679</v>
      </c>
    </row>
    <row r="34" s="1" customFormat="true" ht="15.75" hidden="false" customHeight="true" outlineLevel="0" collapsed="false">
      <c r="A34" s="1" t="s">
        <v>151</v>
      </c>
      <c r="B34" s="5" t="n">
        <f aca="false">Assumptions!$B$3*Assumptions!$B$4</f>
        <v>1.92333333333333</v>
      </c>
      <c r="C34" s="4" t="n">
        <f aca="false">Corpus!C34</f>
        <v>129.9</v>
      </c>
      <c r="D34" s="3" t="n">
        <f aca="false">Assumptions!$B$5/C34</f>
        <v>0.602771362586605</v>
      </c>
      <c r="E34" s="5" t="n">
        <f aca="false">B34*D34</f>
        <v>1.15933025404157</v>
      </c>
      <c r="F34" s="5" t="n">
        <f aca="false">Assumptions!$B$6</f>
        <v>1.05</v>
      </c>
      <c r="G34" s="5" t="n">
        <f aca="false">E34*F34</f>
        <v>1.21729676674365</v>
      </c>
      <c r="H34" s="5" t="n">
        <f aca="false">IF(Corpus!R34="5x",Assumptions!$B$7,Assumptions!$B$8)</f>
        <v>2.99</v>
      </c>
      <c r="I34" s="5" t="n">
        <f aca="false">G34*H34</f>
        <v>3.63971733256351</v>
      </c>
      <c r="J34" s="1" t="str">
        <f aca="false">Corpus!Q34</f>
        <v>Minimal (measured)</v>
      </c>
      <c r="K34" s="5" t="n">
        <f aca="false">Corpus!H34</f>
        <v>1.6</v>
      </c>
      <c r="L34" s="5" t="n">
        <f aca="false">I34*K34</f>
        <v>5.82354773210162</v>
      </c>
    </row>
    <row r="35" s="1" customFormat="true" ht="15.75" hidden="false" customHeight="true" outlineLevel="0" collapsed="false">
      <c r="A35" s="1" t="s">
        <v>152</v>
      </c>
      <c r="B35" s="5" t="n">
        <f aca="false">Assumptions!$B$3*Assumptions!$B$4</f>
        <v>1.92333333333333</v>
      </c>
      <c r="C35" s="4" t="n">
        <f aca="false">Corpus!C35</f>
        <v>131.85</v>
      </c>
      <c r="D35" s="3" t="n">
        <f aca="false">Assumptions!$B$5/C35</f>
        <v>0.593856655290102</v>
      </c>
      <c r="E35" s="5" t="n">
        <f aca="false">B35*D35</f>
        <v>1.1421843003413</v>
      </c>
      <c r="F35" s="5" t="n">
        <f aca="false">Assumptions!$B$6</f>
        <v>1.05</v>
      </c>
      <c r="G35" s="5" t="n">
        <f aca="false">E35*F35</f>
        <v>1.19929351535836</v>
      </c>
      <c r="H35" s="5" t="n">
        <f aca="false">IF(Corpus!R35="5x",Assumptions!$B$7,Assumptions!$B$8)</f>
        <v>2.99</v>
      </c>
      <c r="I35" s="5" t="n">
        <f aca="false">G35*H35</f>
        <v>3.5858876109215</v>
      </c>
      <c r="J35" s="1" t="str">
        <f aca="false">Corpus!Q35</f>
        <v>Low</v>
      </c>
      <c r="K35" s="5" t="n">
        <f aca="false">Corpus!H35</f>
        <v>1.43</v>
      </c>
      <c r="L35" s="5" t="n">
        <f aca="false">I35*K35</f>
        <v>5.12781928361775</v>
      </c>
    </row>
    <row r="36" s="1" customFormat="true" ht="15.75" hidden="false" customHeight="true" outlineLevel="0" collapsed="false">
      <c r="A36" s="1" t="s">
        <v>153</v>
      </c>
      <c r="B36" s="5" t="n">
        <f aca="false">Assumptions!$B$3*Assumptions!$B$4</f>
        <v>1.92333333333333</v>
      </c>
      <c r="C36" s="4" t="n">
        <f aca="false">Corpus!C36</f>
        <v>134.91</v>
      </c>
      <c r="D36" s="3" t="n">
        <f aca="false">Assumptions!$B$5/C36</f>
        <v>0.580386924616411</v>
      </c>
      <c r="E36" s="5" t="n">
        <f aca="false">B36*D36</f>
        <v>1.11627751834556</v>
      </c>
      <c r="F36" s="5" t="n">
        <f aca="false">Assumptions!$B$6</f>
        <v>1.05</v>
      </c>
      <c r="G36" s="5" t="n">
        <f aca="false">E36*F36</f>
        <v>1.17209139426284</v>
      </c>
      <c r="H36" s="5" t="n">
        <f aca="false">IF(Corpus!R36="5x",Assumptions!$B$7,Assumptions!$B$8)</f>
        <v>2.99</v>
      </c>
      <c r="I36" s="5" t="n">
        <f aca="false">G36*H36</f>
        <v>3.5045532688459</v>
      </c>
      <c r="J36" s="1" t="str">
        <f aca="false">Corpus!Q36</f>
        <v>Medium</v>
      </c>
      <c r="K36" s="5" t="n">
        <f aca="false">Corpus!H36</f>
        <v>1.58</v>
      </c>
      <c r="L36" s="5" t="n">
        <f aca="false">I36*K36</f>
        <v>5.53719416477652</v>
      </c>
    </row>
    <row r="37" s="1" customFormat="true" ht="15.75" hidden="false" customHeight="true" outlineLevel="0" collapsed="false">
      <c r="A37" s="1" t="s">
        <v>154</v>
      </c>
      <c r="B37" s="5" t="n">
        <f aca="false">Assumptions!$B$3*Assumptions!$B$4</f>
        <v>1.92333333333333</v>
      </c>
      <c r="C37" s="4" t="n">
        <f aca="false">Corpus!C37</f>
        <v>133.12</v>
      </c>
      <c r="D37" s="3" t="n">
        <f aca="false">Assumptions!$B$5/C37</f>
        <v>0.588191105769231</v>
      </c>
      <c r="E37" s="5" t="n">
        <f aca="false">B37*D37</f>
        <v>1.13128756009615</v>
      </c>
      <c r="F37" s="5" t="n">
        <f aca="false">Assumptions!$B$6</f>
        <v>1.05</v>
      </c>
      <c r="G37" s="5" t="n">
        <f aca="false">E37*F37</f>
        <v>1.18785193810096</v>
      </c>
      <c r="H37" s="5" t="n">
        <f aca="false">IF(Corpus!R37="5x",Assumptions!$B$7,Assumptions!$B$8)</f>
        <v>2.99</v>
      </c>
      <c r="I37" s="5" t="n">
        <f aca="false">G37*H37</f>
        <v>3.55167729492188</v>
      </c>
      <c r="J37" s="1" t="str">
        <f aca="false">Corpus!Q37</f>
        <v>High</v>
      </c>
      <c r="K37" s="5" t="n">
        <f aca="false">Corpus!H37</f>
        <v>2.1</v>
      </c>
      <c r="L37" s="5" t="n">
        <f aca="false">I37*K37</f>
        <v>7.45852231933594</v>
      </c>
    </row>
    <row r="38" s="1" customFormat="true" ht="15.75" hidden="false" customHeight="true" outlineLevel="0" collapsed="false">
      <c r="A38" s="1" t="s">
        <v>155</v>
      </c>
      <c r="B38" s="5" t="n">
        <f aca="false">Assumptions!$B$3*Assumptions!$B$4</f>
        <v>1.92333333333333</v>
      </c>
      <c r="C38" s="4" t="n">
        <f aca="false">Corpus!C38</f>
        <v>130.2</v>
      </c>
      <c r="D38" s="3" t="n">
        <f aca="false">Assumptions!$B$5/C38</f>
        <v>0.601382488479263</v>
      </c>
      <c r="E38" s="5" t="n">
        <f aca="false">B38*D38</f>
        <v>1.15665898617512</v>
      </c>
      <c r="F38" s="5" t="n">
        <f aca="false">Assumptions!$B$6</f>
        <v>1.05</v>
      </c>
      <c r="G38" s="5" t="n">
        <f aca="false">E38*F38</f>
        <v>1.21449193548387</v>
      </c>
      <c r="H38" s="5" t="n">
        <f aca="false">IF(Corpus!R38="5x",Assumptions!$B$7,Assumptions!$B$8)</f>
        <v>2.99</v>
      </c>
      <c r="I38" s="5" t="n">
        <f aca="false">G38*H38</f>
        <v>3.63133088709677</v>
      </c>
      <c r="J38" s="1" t="str">
        <f aca="false">Corpus!Q38</f>
        <v>xHigh</v>
      </c>
      <c r="K38" s="5" t="n">
        <f aca="false">Corpus!H38</f>
        <v>2.58</v>
      </c>
      <c r="L38" s="5" t="n">
        <f aca="false">I38*K38</f>
        <v>9.36883368870968</v>
      </c>
    </row>
    <row r="39" s="1" customFormat="true" ht="15.75" hidden="false" customHeight="true" outlineLevel="0" collapsed="false">
      <c r="A39" s="1" t="s">
        <v>156</v>
      </c>
      <c r="B39" s="5" t="n">
        <f aca="false">Assumptions!$B$3*Assumptions!$B$4</f>
        <v>1.92333333333333</v>
      </c>
      <c r="C39" s="4" t="n">
        <f aca="false">Corpus!C39</f>
        <v>52.91</v>
      </c>
      <c r="D39" s="3" t="n">
        <f aca="false">Assumptions!$B$5/C39</f>
        <v>1.47987147987148</v>
      </c>
      <c r="E39" s="5" t="n">
        <f aca="false">B39*D39</f>
        <v>2.84628614628615</v>
      </c>
      <c r="F39" s="5" t="n">
        <f aca="false">Assumptions!$B$6</f>
        <v>1.05</v>
      </c>
      <c r="G39" s="5" t="n">
        <f aca="false">E39*F39</f>
        <v>2.98860045360045</v>
      </c>
      <c r="H39" s="5" t="n">
        <f aca="false">IF(Corpus!R39="5x",Assumptions!$B$7,Assumptions!$B$8)</f>
        <v>2.99</v>
      </c>
      <c r="I39" s="5" t="n">
        <f aca="false">G39*H39</f>
        <v>8.93591535626536</v>
      </c>
      <c r="J39" s="1" t="str">
        <f aca="false">Corpus!Q39</f>
        <v>Minimal (measured)</v>
      </c>
      <c r="K39" s="5" t="n">
        <f aca="false">Corpus!H39</f>
        <v>1.44</v>
      </c>
      <c r="L39" s="5" t="n">
        <f aca="false">I39*K39</f>
        <v>12.8677181130221</v>
      </c>
    </row>
    <row r="40" s="1" customFormat="true" ht="15.75" hidden="false" customHeight="true" outlineLevel="0" collapsed="false">
      <c r="A40" s="1" t="s">
        <v>157</v>
      </c>
      <c r="B40" s="5" t="n">
        <f aca="false">Assumptions!$B$3*Assumptions!$B$4</f>
        <v>1.92333333333333</v>
      </c>
      <c r="C40" s="4" t="n">
        <f aca="false">Corpus!C40</f>
        <v>53.57</v>
      </c>
      <c r="D40" s="3" t="n">
        <f aca="false">Assumptions!$B$5/C40</f>
        <v>1.46163897703939</v>
      </c>
      <c r="E40" s="5" t="n">
        <f aca="false">B40*D40</f>
        <v>2.81121896583909</v>
      </c>
      <c r="F40" s="5" t="n">
        <f aca="false">Assumptions!$B$6</f>
        <v>1.05</v>
      </c>
      <c r="G40" s="5" t="n">
        <f aca="false">E40*F40</f>
        <v>2.95177991413104</v>
      </c>
      <c r="H40" s="5" t="n">
        <f aca="false">IF(Corpus!R40="5x",Assumptions!$B$7,Assumptions!$B$8)</f>
        <v>2.99</v>
      </c>
      <c r="I40" s="5" t="n">
        <f aca="false">G40*H40</f>
        <v>8.82582194325182</v>
      </c>
      <c r="J40" s="1" t="str">
        <f aca="false">Corpus!Q40</f>
        <v>Low</v>
      </c>
      <c r="K40" s="5" t="n">
        <f aca="false">Corpus!H40</f>
        <v>1.36</v>
      </c>
      <c r="L40" s="5" t="n">
        <f aca="false">I40*K40</f>
        <v>12.0031178428225</v>
      </c>
    </row>
    <row r="41" s="1" customFormat="true" ht="15.75" hidden="false" customHeight="true" outlineLevel="0" collapsed="false">
      <c r="A41" s="1" t="s">
        <v>158</v>
      </c>
      <c r="B41" s="5" t="n">
        <f aca="false">Assumptions!$B$3*Assumptions!$B$4</f>
        <v>1.92333333333333</v>
      </c>
      <c r="C41" s="4" t="n">
        <f aca="false">Corpus!C41</f>
        <v>53.64</v>
      </c>
      <c r="D41" s="3" t="n">
        <f aca="false">Assumptions!$B$5/C41</f>
        <v>1.45973154362416</v>
      </c>
      <c r="E41" s="5" t="n">
        <f aca="false">B41*D41</f>
        <v>2.80755033557047</v>
      </c>
      <c r="F41" s="5" t="n">
        <f aca="false">Assumptions!$B$6</f>
        <v>1.05</v>
      </c>
      <c r="G41" s="5" t="n">
        <f aca="false">E41*F41</f>
        <v>2.94792785234899</v>
      </c>
      <c r="H41" s="5" t="n">
        <f aca="false">IF(Corpus!R41="5x",Assumptions!$B$7,Assumptions!$B$8)</f>
        <v>2.99</v>
      </c>
      <c r="I41" s="5" t="n">
        <f aca="false">G41*H41</f>
        <v>8.81430427852349</v>
      </c>
      <c r="J41" s="1" t="str">
        <f aca="false">Corpus!Q41</f>
        <v>Medium</v>
      </c>
      <c r="K41" s="5" t="n">
        <f aca="false">Corpus!H41</f>
        <v>1.47</v>
      </c>
      <c r="L41" s="5" t="n">
        <f aca="false">I41*K41</f>
        <v>12.9570272894295</v>
      </c>
    </row>
    <row r="42" s="1" customFormat="true" ht="15.75" hidden="false" customHeight="true" outlineLevel="0" collapsed="false">
      <c r="A42" s="1" t="s">
        <v>159</v>
      </c>
      <c r="B42" s="5" t="n">
        <f aca="false">Assumptions!$B$3*Assumptions!$B$4</f>
        <v>1.92333333333333</v>
      </c>
      <c r="C42" s="4" t="n">
        <f aca="false">Corpus!C42</f>
        <v>53.63</v>
      </c>
      <c r="D42" s="3" t="n">
        <f aca="false">Assumptions!$B$5/C42</f>
        <v>1.46000372925601</v>
      </c>
      <c r="E42" s="5" t="n">
        <f aca="false">B42*D42</f>
        <v>2.80807383926907</v>
      </c>
      <c r="F42" s="5" t="n">
        <f aca="false">Assumptions!$B$6</f>
        <v>1.05</v>
      </c>
      <c r="G42" s="5" t="n">
        <f aca="false">E42*F42</f>
        <v>2.94847753123252</v>
      </c>
      <c r="H42" s="5" t="n">
        <f aca="false">IF(Corpus!R42="5x",Assumptions!$B$7,Assumptions!$B$8)</f>
        <v>2.99</v>
      </c>
      <c r="I42" s="5" t="n">
        <f aca="false">G42*H42</f>
        <v>8.81594781838523</v>
      </c>
      <c r="J42" s="1" t="str">
        <f aca="false">Corpus!Q42</f>
        <v>High</v>
      </c>
      <c r="K42" s="5" t="n">
        <f aca="false">Corpus!H42</f>
        <v>1.64</v>
      </c>
      <c r="L42" s="5" t="n">
        <f aca="false">I42*K42</f>
        <v>14.4581544221518</v>
      </c>
    </row>
    <row r="43" s="1" customFormat="true" ht="15.75" hidden="false" customHeight="true" outlineLevel="0" collapsed="false">
      <c r="A43" s="1" t="s">
        <v>160</v>
      </c>
      <c r="B43" s="5" t="n">
        <f aca="false">Assumptions!$B$3*Assumptions!$B$4</f>
        <v>1.92333333333333</v>
      </c>
      <c r="C43" s="4" t="n">
        <f aca="false">Corpus!C43</f>
        <v>55.21</v>
      </c>
      <c r="D43" s="3" t="n">
        <f aca="false">Assumptions!$B$5/C43</f>
        <v>1.41822133671436</v>
      </c>
      <c r="E43" s="5" t="n">
        <f aca="false">B43*D43</f>
        <v>2.72771237094729</v>
      </c>
      <c r="F43" s="5" t="n">
        <f aca="false">Assumptions!$B$6</f>
        <v>1.05</v>
      </c>
      <c r="G43" s="5" t="n">
        <f aca="false">E43*F43</f>
        <v>2.86409798949466</v>
      </c>
      <c r="H43" s="5" t="n">
        <f aca="false">IF(Corpus!R43="5x",Assumptions!$B$7,Assumptions!$B$8)</f>
        <v>2.99</v>
      </c>
      <c r="I43" s="5" t="n">
        <f aca="false">G43*H43</f>
        <v>8.56365298858902</v>
      </c>
      <c r="J43" s="1" t="str">
        <f aca="false">Corpus!Q43</f>
        <v>xHigh</v>
      </c>
      <c r="K43" s="5" t="n">
        <f aca="false">Corpus!H43</f>
        <v>1.91</v>
      </c>
      <c r="L43" s="5" t="n">
        <f aca="false">I43*K43</f>
        <v>16.356577208205</v>
      </c>
    </row>
    <row r="44" s="1" customFormat="true" ht="15.75" hidden="false" customHeight="true" outlineLevel="0" collapsed="false">
      <c r="A44" s="1" t="s">
        <v>161</v>
      </c>
      <c r="B44" s="5" t="n">
        <f aca="false">Assumptions!$B$3*Assumptions!$B$4</f>
        <v>1.92333333333333</v>
      </c>
      <c r="C44" s="4" t="n">
        <f aca="false">Corpus!C44</f>
        <v>55.21</v>
      </c>
      <c r="D44" s="3" t="n">
        <f aca="false">Assumptions!$B$5/C44</f>
        <v>1.41822133671436</v>
      </c>
      <c r="E44" s="5" t="n">
        <f aca="false">B44*D44</f>
        <v>2.72771237094729</v>
      </c>
      <c r="F44" s="5" t="n">
        <f aca="false">Assumptions!$B$6</f>
        <v>1.05</v>
      </c>
      <c r="G44" s="5" t="n">
        <f aca="false">E44*F44</f>
        <v>2.86409798949466</v>
      </c>
      <c r="H44" s="5" t="n">
        <f aca="false">IF(Corpus!R44="5x",Assumptions!$B$7,Assumptions!$B$8)</f>
        <v>2.99</v>
      </c>
      <c r="I44" s="5" t="n">
        <f aca="false">G44*H44</f>
        <v>8.56365298858902</v>
      </c>
      <c r="J44" s="1" t="str">
        <f aca="false">Corpus!Q44</f>
        <v>Max (floor)</v>
      </c>
      <c r="K44" s="5" t="n">
        <f aca="false">Corpus!H44</f>
        <v>1.91</v>
      </c>
      <c r="L44" s="5" t="n">
        <f aca="false">I44*K44</f>
        <v>16.356577208205</v>
      </c>
    </row>
    <row r="45" s="1" customFormat="true" ht="15.75" hidden="false" customHeight="true" outlineLevel="0" collapsed="false">
      <c r="A45" s="1" t="s">
        <v>163</v>
      </c>
      <c r="B45" s="5" t="n">
        <f aca="false">Assumptions!$B$3*Assumptions!$B$4</f>
        <v>1.92333333333333</v>
      </c>
      <c r="C45" s="4" t="n">
        <f aca="false">Corpus!C45</f>
        <v>96.85</v>
      </c>
      <c r="D45" s="3" t="n">
        <f aca="false">Assumptions!$B$5/C45</f>
        <v>0.808466701084151</v>
      </c>
      <c r="E45" s="5" t="n">
        <f aca="false">B45*D45</f>
        <v>1.55495095508518</v>
      </c>
      <c r="F45" s="5" t="n">
        <f aca="false">Assumptions!$B$6</f>
        <v>1.05</v>
      </c>
      <c r="G45" s="5" t="n">
        <f aca="false">E45*F45</f>
        <v>1.63269850283944</v>
      </c>
      <c r="H45" s="5" t="n">
        <f aca="false">IF(Corpus!R45="5x",Assumptions!$B$7,Assumptions!$B$8)</f>
        <v>2.99</v>
      </c>
      <c r="I45" s="5" t="n">
        <f aca="false">G45*H45</f>
        <v>4.88176852348993</v>
      </c>
      <c r="J45" s="1" t="str">
        <f aca="false">Corpus!Q45</f>
        <v>Minimal (measured)</v>
      </c>
      <c r="K45" s="5" t="n">
        <f aca="false">Corpus!H45</f>
        <v>1.38</v>
      </c>
      <c r="L45" s="5" t="n">
        <f aca="false">I45*K45</f>
        <v>6.73684056241611</v>
      </c>
    </row>
    <row r="46" s="1" customFormat="true" ht="15.75" hidden="false" customHeight="true" outlineLevel="0" collapsed="false">
      <c r="A46" s="1" t="s">
        <v>164</v>
      </c>
      <c r="B46" s="5" t="n">
        <f aca="false">Assumptions!$B$3*Assumptions!$B$4</f>
        <v>1.92333333333333</v>
      </c>
      <c r="C46" s="4" t="n">
        <f aca="false">Corpus!C46</f>
        <v>93.61</v>
      </c>
      <c r="D46" s="3" t="n">
        <f aca="false">Assumptions!$B$5/C46</f>
        <v>0.836449097318663</v>
      </c>
      <c r="E46" s="5" t="n">
        <f aca="false">B46*D46</f>
        <v>1.60877043050956</v>
      </c>
      <c r="F46" s="5" t="n">
        <f aca="false">Assumptions!$B$6</f>
        <v>1.05</v>
      </c>
      <c r="G46" s="5" t="n">
        <f aca="false">E46*F46</f>
        <v>1.68920895203504</v>
      </c>
      <c r="H46" s="5" t="n">
        <f aca="false">IF(Corpus!R46="5x",Assumptions!$B$7,Assumptions!$B$8)</f>
        <v>2.99</v>
      </c>
      <c r="I46" s="5" t="n">
        <f aca="false">G46*H46</f>
        <v>5.05073476658477</v>
      </c>
      <c r="J46" s="1" t="str">
        <f aca="false">Corpus!Q46</f>
        <v>Low</v>
      </c>
      <c r="K46" s="5" t="n">
        <f aca="false">Corpus!H46</f>
        <v>1.36</v>
      </c>
      <c r="L46" s="5" t="n">
        <f aca="false">I46*K46</f>
        <v>6.86899928255528</v>
      </c>
    </row>
    <row r="47" s="1" customFormat="true" ht="15.75" hidden="false" customHeight="true" outlineLevel="0" collapsed="false">
      <c r="A47" s="1" t="s">
        <v>165</v>
      </c>
      <c r="B47" s="5" t="n">
        <f aca="false">Assumptions!$B$3*Assumptions!$B$4</f>
        <v>1.92333333333333</v>
      </c>
      <c r="C47" s="4" t="n">
        <f aca="false">Corpus!C47</f>
        <v>94.86</v>
      </c>
      <c r="D47" s="3" t="n">
        <f aca="false">Assumptions!$B$5/C47</f>
        <v>0.825426944971537</v>
      </c>
      <c r="E47" s="5" t="n">
        <f aca="false">B47*D47</f>
        <v>1.58757115749526</v>
      </c>
      <c r="F47" s="5" t="n">
        <f aca="false">Assumptions!$B$6</f>
        <v>1.05</v>
      </c>
      <c r="G47" s="5" t="n">
        <f aca="false">E47*F47</f>
        <v>1.66694971537002</v>
      </c>
      <c r="H47" s="5" t="n">
        <f aca="false">IF(Corpus!R47="5x",Assumptions!$B$7,Assumptions!$B$8)</f>
        <v>2.99</v>
      </c>
      <c r="I47" s="5" t="n">
        <f aca="false">G47*H47</f>
        <v>4.98417964895636</v>
      </c>
      <c r="J47" s="1" t="str">
        <f aca="false">Corpus!Q47</f>
        <v>Medium</v>
      </c>
      <c r="K47" s="5" t="n">
        <f aca="false">Corpus!H47</f>
        <v>1.37</v>
      </c>
      <c r="L47" s="5" t="n">
        <f aca="false">I47*K47</f>
        <v>6.82832611907021</v>
      </c>
    </row>
    <row r="48" s="1" customFormat="true" ht="15.75" hidden="false" customHeight="true" outlineLevel="0" collapsed="false">
      <c r="A48" s="1" t="s">
        <v>166</v>
      </c>
      <c r="B48" s="5" t="n">
        <f aca="false">Assumptions!$B$3*Assumptions!$B$4</f>
        <v>1.92333333333333</v>
      </c>
      <c r="C48" s="4" t="n">
        <f aca="false">Corpus!C48</f>
        <v>95.52</v>
      </c>
      <c r="D48" s="3" t="n">
        <f aca="false">Assumptions!$B$5/C48</f>
        <v>0.819723618090452</v>
      </c>
      <c r="E48" s="5" t="n">
        <f aca="false">B48*D48</f>
        <v>1.57660175879397</v>
      </c>
      <c r="F48" s="5" t="n">
        <f aca="false">Assumptions!$B$6</f>
        <v>1.05</v>
      </c>
      <c r="G48" s="5" t="n">
        <f aca="false">E48*F48</f>
        <v>1.65543184673367</v>
      </c>
      <c r="H48" s="5" t="n">
        <f aca="false">IF(Corpus!R48="5x",Assumptions!$B$7,Assumptions!$B$8)</f>
        <v>2.99</v>
      </c>
      <c r="I48" s="5" t="n">
        <f aca="false">G48*H48</f>
        <v>4.94974122173367</v>
      </c>
      <c r="J48" s="1" t="str">
        <f aca="false">Corpus!Q48</f>
        <v>High</v>
      </c>
      <c r="K48" s="5" t="n">
        <f aca="false">Corpus!H48</f>
        <v>1.45</v>
      </c>
      <c r="L48" s="5" t="n">
        <f aca="false">I48*K48</f>
        <v>7.17712477151382</v>
      </c>
    </row>
    <row r="49" s="1" customFormat="true" ht="15.75" hidden="false" customHeight="true" outlineLevel="0" collapsed="false">
      <c r="A49" s="1" t="s">
        <v>167</v>
      </c>
      <c r="B49" s="5" t="n">
        <f aca="false">Assumptions!$B$3*Assumptions!$B$4</f>
        <v>1.92333333333333</v>
      </c>
      <c r="C49" s="4" t="n">
        <f aca="false">Corpus!C49</f>
        <v>95.22</v>
      </c>
      <c r="D49" s="3" t="n">
        <f aca="false">Assumptions!$B$5/C49</f>
        <v>0.822306238185255</v>
      </c>
      <c r="E49" s="5" t="n">
        <f aca="false">B49*D49</f>
        <v>1.58156899810964</v>
      </c>
      <c r="F49" s="5" t="n">
        <f aca="false">Assumptions!$B$6</f>
        <v>1.05</v>
      </c>
      <c r="G49" s="5" t="n">
        <f aca="false">E49*F49</f>
        <v>1.66064744801512</v>
      </c>
      <c r="H49" s="5" t="n">
        <f aca="false">IF(Corpus!R49="5x",Assumptions!$B$7,Assumptions!$B$8)</f>
        <v>2.99</v>
      </c>
      <c r="I49" s="5" t="n">
        <f aca="false">G49*H49</f>
        <v>4.96533586956522</v>
      </c>
      <c r="J49" s="1" t="str">
        <f aca="false">Corpus!Q49</f>
        <v>xHigh</v>
      </c>
      <c r="K49" s="5" t="n">
        <f aca="false">Corpus!H49</f>
        <v>1.68</v>
      </c>
      <c r="L49" s="5" t="n">
        <f aca="false">I49*K49</f>
        <v>8.34176426086957</v>
      </c>
    </row>
    <row r="50" s="1" customFormat="true" ht="15.75" hidden="false" customHeight="true" outlineLevel="0" collapsed="false"/>
    <row r="51" s="1" customFormat="true" ht="15.75" hidden="false" customHeight="true" outlineLevel="0" collapsed="false">
      <c r="A51" s="1" t="s">
        <v>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 min="1" style="1" width="26"/>
    <col collapsed="false" customWidth="true" hidden="false" outlineLevel="0" max="2" min="2" style="1" width="20"/>
    <col collapsed="false" customWidth="true" hidden="false" outlineLevel="0" max="4" min="3" style="1" width="12"/>
    <col collapsed="false" customWidth="true" hidden="false" outlineLevel="0" max="7" min="5" style="1" width="26"/>
  </cols>
  <sheetData>
    <row r="1" s="1" customFormat="true" ht="15" hidden="false" customHeight="true" outlineLevel="0" collapsed="false">
      <c r="A1" s="2" t="s">
        <v>182</v>
      </c>
    </row>
    <row r="2" s="1" customFormat="true" ht="15" hidden="false" customHeight="true" outlineLevel="0" collapsed="false">
      <c r="A2" s="2" t="s">
        <v>169</v>
      </c>
      <c r="B2" s="2" t="s">
        <v>180</v>
      </c>
      <c r="C2" s="2" t="s">
        <v>183</v>
      </c>
      <c r="D2" s="2" t="s">
        <v>184</v>
      </c>
      <c r="E2" s="2" t="s">
        <v>185</v>
      </c>
      <c r="F2" s="2" t="s">
        <v>186</v>
      </c>
      <c r="G2" s="2" t="s">
        <v>187</v>
      </c>
    </row>
    <row r="3" s="1" customFormat="true" ht="15" hidden="false" customHeight="true" outlineLevel="0" collapsed="false">
      <c r="A3" s="1" t="s">
        <v>107</v>
      </c>
      <c r="B3" s="5" t="n">
        <f aca="false">Table6!L3</f>
        <v>2.0195</v>
      </c>
      <c r="C3" s="3" t="n">
        <f aca="false">Assumptions!$B$9</f>
        <v>0.353</v>
      </c>
      <c r="D3" s="6" t="n">
        <f aca="false">Assumptions!$B$10</f>
        <v>0.0516</v>
      </c>
      <c r="E3" s="5" t="n">
        <f aca="false">B3*C3</f>
        <v>0.7128835</v>
      </c>
      <c r="F3" s="5" t="n">
        <f aca="false">B3*D3</f>
        <v>0.1042062</v>
      </c>
      <c r="G3" s="5" t="n">
        <f aca="false">B3*Assumptions!$B$21</f>
        <v>0.32089855</v>
      </c>
    </row>
    <row r="4" s="1" customFormat="true" ht="15" hidden="false" customHeight="true" outlineLevel="0" collapsed="false">
      <c r="A4" s="1" t="s">
        <v>110</v>
      </c>
      <c r="B4" s="5" t="n">
        <f aca="false">Table6!L4</f>
        <v>7.77886280848963</v>
      </c>
      <c r="C4" s="3" t="n">
        <f aca="false">Assumptions!$B$9</f>
        <v>0.353</v>
      </c>
      <c r="D4" s="6" t="n">
        <f aca="false">Assumptions!$B$10</f>
        <v>0.0516</v>
      </c>
      <c r="E4" s="5" t="n">
        <f aca="false">B4*C4</f>
        <v>2.74593857139684</v>
      </c>
      <c r="F4" s="5" t="n">
        <f aca="false">B4*D4</f>
        <v>0.401389320918065</v>
      </c>
      <c r="G4" s="5" t="n">
        <f aca="false">B4*Assumptions!$B$21</f>
        <v>1.236061300269</v>
      </c>
    </row>
    <row r="5" s="1" customFormat="true" ht="15" hidden="false" customHeight="true" outlineLevel="0" collapsed="false">
      <c r="A5" s="1" t="s">
        <v>113</v>
      </c>
      <c r="B5" s="5" t="n">
        <f aca="false">Table6!L5</f>
        <v>17.2843016023771</v>
      </c>
      <c r="C5" s="3" t="n">
        <f aca="false">Assumptions!$B$9</f>
        <v>0.353</v>
      </c>
      <c r="D5" s="6" t="n">
        <f aca="false">Assumptions!$B$10</f>
        <v>0.0516</v>
      </c>
      <c r="E5" s="5" t="n">
        <f aca="false">B5*C5</f>
        <v>6.1013584656391</v>
      </c>
      <c r="F5" s="5" t="n">
        <f aca="false">B5*D5</f>
        <v>0.891869962682656</v>
      </c>
      <c r="G5" s="5" t="n">
        <f aca="false">B5*Assumptions!$B$21</f>
        <v>2.74647552461771</v>
      </c>
    </row>
    <row r="6" s="1" customFormat="true" ht="15" hidden="false" customHeight="true" outlineLevel="0" collapsed="false">
      <c r="A6" s="1" t="s">
        <v>115</v>
      </c>
      <c r="B6" s="5" t="n">
        <f aca="false">Table6!L6</f>
        <v>28.6048407272727</v>
      </c>
      <c r="C6" s="3" t="n">
        <f aca="false">Assumptions!$B$9</f>
        <v>0.353</v>
      </c>
      <c r="D6" s="6" t="n">
        <f aca="false">Assumptions!$B$10</f>
        <v>0.0516</v>
      </c>
      <c r="E6" s="5" t="n">
        <f aca="false">B6*C6</f>
        <v>10.0975087767273</v>
      </c>
      <c r="F6" s="5" t="n">
        <f aca="false">B6*D6</f>
        <v>1.47600978152727</v>
      </c>
      <c r="G6" s="5" t="n">
        <f aca="false">B6*Assumptions!$B$21</f>
        <v>4.54530919156364</v>
      </c>
    </row>
    <row r="7" s="1" customFormat="true" ht="15" hidden="false" customHeight="true" outlineLevel="0" collapsed="false">
      <c r="A7" s="1" t="s">
        <v>117</v>
      </c>
      <c r="B7" s="5" t="n">
        <f aca="false">Table6!L7</f>
        <v>41.93524062</v>
      </c>
      <c r="C7" s="3" t="n">
        <f aca="false">Assumptions!$B$9</f>
        <v>0.353</v>
      </c>
      <c r="D7" s="6" t="n">
        <f aca="false">Assumptions!$B$10</f>
        <v>0.0516</v>
      </c>
      <c r="E7" s="5" t="n">
        <f aca="false">B7*C7</f>
        <v>14.80313993886</v>
      </c>
      <c r="F7" s="5" t="n">
        <f aca="false">B7*D7</f>
        <v>2.163858415992</v>
      </c>
      <c r="G7" s="5" t="n">
        <f aca="false">B7*Assumptions!$B$21</f>
        <v>6.663509734518</v>
      </c>
    </row>
    <row r="8" s="1" customFormat="true" ht="15" hidden="false" customHeight="true" outlineLevel="0" collapsed="false">
      <c r="A8" s="1" t="s">
        <v>119</v>
      </c>
      <c r="B8" s="5" t="n">
        <f aca="false">Table6!L8</f>
        <v>28.6660841653193</v>
      </c>
      <c r="C8" s="3" t="n">
        <f aca="false">Assumptions!$B$9</f>
        <v>0.353</v>
      </c>
      <c r="D8" s="6" t="n">
        <f aca="false">Assumptions!$B$10</f>
        <v>0.0516</v>
      </c>
      <c r="E8" s="5" t="n">
        <f aca="false">B8*C8</f>
        <v>10.1191277103577</v>
      </c>
      <c r="F8" s="5" t="n">
        <f aca="false">B8*D8</f>
        <v>1.47916994293048</v>
      </c>
      <c r="G8" s="5" t="n">
        <f aca="false">B8*Assumptions!$B$21</f>
        <v>4.55504077386924</v>
      </c>
    </row>
    <row r="9" s="1" customFormat="true" ht="15" hidden="false" customHeight="true" outlineLevel="0" collapsed="false">
      <c r="A9" s="1" t="s">
        <v>121</v>
      </c>
      <c r="B9" s="5" t="n">
        <f aca="false">Table6!L9</f>
        <v>7.84078410447761</v>
      </c>
      <c r="C9" s="3" t="n">
        <f aca="false">Assumptions!$B$9</f>
        <v>0.353</v>
      </c>
      <c r="D9" s="6" t="n">
        <f aca="false">Assumptions!$B$10</f>
        <v>0.0516</v>
      </c>
      <c r="E9" s="5" t="n">
        <f aca="false">B9*C9</f>
        <v>2.7677967888806</v>
      </c>
      <c r="F9" s="5" t="n">
        <f aca="false">B9*D9</f>
        <v>0.404584459791045</v>
      </c>
      <c r="G9" s="5" t="n">
        <f aca="false">B9*Assumptions!$B$21</f>
        <v>1.24590059420149</v>
      </c>
    </row>
    <row r="10" s="1" customFormat="true" ht="15" hidden="false" customHeight="true" outlineLevel="0" collapsed="false">
      <c r="A10" s="1" t="s">
        <v>123</v>
      </c>
      <c r="B10" s="5" t="n">
        <f aca="false">Table6!L10</f>
        <v>13.7245750061707</v>
      </c>
      <c r="C10" s="3" t="n">
        <f aca="false">Assumptions!$B$9</f>
        <v>0.353</v>
      </c>
      <c r="D10" s="6" t="n">
        <f aca="false">Assumptions!$B$10</f>
        <v>0.0516</v>
      </c>
      <c r="E10" s="5" t="n">
        <f aca="false">B10*C10</f>
        <v>4.84477497717825</v>
      </c>
      <c r="F10" s="5" t="n">
        <f aca="false">B10*D10</f>
        <v>0.708188070318408</v>
      </c>
      <c r="G10" s="5" t="n">
        <f aca="false">B10*Assumptions!$B$21</f>
        <v>2.18083496848052</v>
      </c>
    </row>
    <row r="11" s="1" customFormat="true" ht="15" hidden="false" customHeight="true" outlineLevel="0" collapsed="false">
      <c r="A11" s="1" t="s">
        <v>124</v>
      </c>
      <c r="B11" s="5" t="n">
        <f aca="false">Table6!L11</f>
        <v>15.0562595700935</v>
      </c>
      <c r="C11" s="3" t="n">
        <f aca="false">Assumptions!$B$9</f>
        <v>0.353</v>
      </c>
      <c r="D11" s="6" t="n">
        <f aca="false">Assumptions!$B$10</f>
        <v>0.0516</v>
      </c>
      <c r="E11" s="5" t="n">
        <f aca="false">B11*C11</f>
        <v>5.31485962824299</v>
      </c>
      <c r="F11" s="5" t="n">
        <f aca="false">B11*D11</f>
        <v>0.776902993816823</v>
      </c>
      <c r="G11" s="5" t="n">
        <f aca="false">B11*Assumptions!$B$21</f>
        <v>2.39243964568785</v>
      </c>
    </row>
    <row r="12" s="1" customFormat="true" ht="15" hidden="false" customHeight="true" outlineLevel="0" collapsed="false">
      <c r="A12" s="1" t="s">
        <v>125</v>
      </c>
      <c r="B12" s="5" t="n">
        <f aca="false">Table6!L12</f>
        <v>16.8117453397268</v>
      </c>
      <c r="C12" s="3" t="n">
        <f aca="false">Assumptions!$B$9</f>
        <v>0.353</v>
      </c>
      <c r="D12" s="6" t="n">
        <f aca="false">Assumptions!$B$10</f>
        <v>0.0516</v>
      </c>
      <c r="E12" s="5" t="n">
        <f aca="false">B12*C12</f>
        <v>5.93454610492354</v>
      </c>
      <c r="F12" s="5" t="n">
        <f aca="false">B12*D12</f>
        <v>0.8674860595299</v>
      </c>
      <c r="G12" s="5" t="n">
        <f aca="false">B12*Assumptions!$B$21</f>
        <v>2.67138633448258</v>
      </c>
    </row>
    <row r="13" s="1" customFormat="true" ht="15" hidden="false" customHeight="true" outlineLevel="0" collapsed="false">
      <c r="A13" s="1" t="s">
        <v>126</v>
      </c>
      <c r="B13" s="5" t="n">
        <f aca="false">Table6!L13</f>
        <v>25.6341755586799</v>
      </c>
      <c r="C13" s="3" t="n">
        <f aca="false">Assumptions!$B$9</f>
        <v>0.353</v>
      </c>
      <c r="D13" s="6" t="n">
        <f aca="false">Assumptions!$B$10</f>
        <v>0.0516</v>
      </c>
      <c r="E13" s="5" t="n">
        <f aca="false">B13*C13</f>
        <v>9.04886397221401</v>
      </c>
      <c r="F13" s="5" t="n">
        <f aca="false">B13*D13</f>
        <v>1.32272345882788</v>
      </c>
      <c r="G13" s="5" t="n">
        <f aca="false">B13*Assumptions!$B$21</f>
        <v>4.07327049627424</v>
      </c>
    </row>
    <row r="14" s="1" customFormat="true" ht="15" hidden="false" customHeight="true" outlineLevel="0" collapsed="false">
      <c r="A14" s="1" t="s">
        <v>127</v>
      </c>
      <c r="B14" s="5" t="n">
        <f aca="false">Table6!L14</f>
        <v>3.01953813705454</v>
      </c>
      <c r="C14" s="3" t="n">
        <f aca="false">Assumptions!$B$9</f>
        <v>0.353</v>
      </c>
      <c r="D14" s="6" t="n">
        <f aca="false">Assumptions!$B$10</f>
        <v>0.0516</v>
      </c>
      <c r="E14" s="5" t="n">
        <f aca="false">B14*C14</f>
        <v>1.06589696238025</v>
      </c>
      <c r="F14" s="5" t="n">
        <f aca="false">B14*D14</f>
        <v>0.155808167872014</v>
      </c>
      <c r="G14" s="5" t="n">
        <f aca="false">B14*Assumptions!$B$21</f>
        <v>0.479804609977967</v>
      </c>
    </row>
    <row r="15" s="1" customFormat="true" ht="15" hidden="false" customHeight="true" outlineLevel="0" collapsed="false">
      <c r="A15" s="1" t="s">
        <v>129</v>
      </c>
      <c r="B15" s="5" t="n">
        <f aca="false">Table6!L15</f>
        <v>4.97293292751682</v>
      </c>
      <c r="C15" s="3" t="n">
        <f aca="false">Assumptions!$B$9</f>
        <v>0.353</v>
      </c>
      <c r="D15" s="6" t="n">
        <f aca="false">Assumptions!$B$10</f>
        <v>0.0516</v>
      </c>
      <c r="E15" s="5" t="n">
        <f aca="false">B15*C15</f>
        <v>1.75544532341344</v>
      </c>
      <c r="F15" s="5" t="n">
        <f aca="false">B15*D15</f>
        <v>0.256603339059868</v>
      </c>
      <c r="G15" s="5" t="n">
        <f aca="false">B15*Assumptions!$B$21</f>
        <v>0.790199042182423</v>
      </c>
    </row>
    <row r="16" s="1" customFormat="true" ht="15" hidden="false" customHeight="true" outlineLevel="0" collapsed="false">
      <c r="A16" s="1" t="s">
        <v>130</v>
      </c>
      <c r="B16" s="5" t="n">
        <f aca="false">Table6!L16</f>
        <v>5.54629926375</v>
      </c>
      <c r="C16" s="3" t="n">
        <f aca="false">Assumptions!$B$9</f>
        <v>0.353</v>
      </c>
      <c r="D16" s="6" t="n">
        <f aca="false">Assumptions!$B$10</f>
        <v>0.0516</v>
      </c>
      <c r="E16" s="5" t="n">
        <f aca="false">B16*C16</f>
        <v>1.95784364010375</v>
      </c>
      <c r="F16" s="5" t="n">
        <f aca="false">B16*D16</f>
        <v>0.2861890420095</v>
      </c>
      <c r="G16" s="5" t="n">
        <f aca="false">B16*Assumptions!$B$21</f>
        <v>0.881306953009875</v>
      </c>
    </row>
    <row r="17" s="1" customFormat="true" ht="15" hidden="false" customHeight="true" outlineLevel="0" collapsed="false">
      <c r="A17" s="1" t="s">
        <v>131</v>
      </c>
      <c r="B17" s="5" t="n">
        <f aca="false">Table6!L17</f>
        <v>5.9148700359116</v>
      </c>
      <c r="C17" s="3" t="n">
        <f aca="false">Assumptions!$B$9</f>
        <v>0.353</v>
      </c>
      <c r="D17" s="6" t="n">
        <f aca="false">Assumptions!$B$10</f>
        <v>0.0516</v>
      </c>
      <c r="E17" s="5" t="n">
        <f aca="false">B17*C17</f>
        <v>2.0879491226768</v>
      </c>
      <c r="F17" s="5" t="n">
        <f aca="false">B17*D17</f>
        <v>0.305207293853039</v>
      </c>
      <c r="G17" s="5" t="n">
        <f aca="false">B17*Assumptions!$B$21</f>
        <v>0.939872848706354</v>
      </c>
    </row>
    <row r="18" s="1" customFormat="true" ht="15" hidden="false" customHeight="true" outlineLevel="0" collapsed="false">
      <c r="A18" s="1" t="s">
        <v>132</v>
      </c>
      <c r="B18" s="5" t="n">
        <f aca="false">Table6!L18</f>
        <v>11.3322364549459</v>
      </c>
      <c r="C18" s="3" t="n">
        <f aca="false">Assumptions!$B$9</f>
        <v>0.353</v>
      </c>
      <c r="D18" s="6" t="n">
        <f aca="false">Assumptions!$B$10</f>
        <v>0.0516</v>
      </c>
      <c r="E18" s="5" t="n">
        <f aca="false">B18*C18</f>
        <v>4.00027946859591</v>
      </c>
      <c r="F18" s="5" t="n">
        <f aca="false">B18*D18</f>
        <v>0.584743401075209</v>
      </c>
      <c r="G18" s="5" t="n">
        <f aca="false">B18*Assumptions!$B$21</f>
        <v>1.80069237269091</v>
      </c>
    </row>
    <row r="19" s="1" customFormat="true" ht="15" hidden="false" customHeight="true" outlineLevel="0" collapsed="false">
      <c r="A19" s="1" t="s">
        <v>133</v>
      </c>
      <c r="B19" s="5" t="n">
        <f aca="false">Table6!L19</f>
        <v>3.251490829379</v>
      </c>
      <c r="C19" s="3" t="n">
        <f aca="false">Assumptions!$B$9</f>
        <v>0.353</v>
      </c>
      <c r="D19" s="6" t="n">
        <f aca="false">Assumptions!$B$10</f>
        <v>0.0516</v>
      </c>
      <c r="E19" s="5" t="n">
        <f aca="false">B19*C19</f>
        <v>1.14777626277079</v>
      </c>
      <c r="F19" s="5" t="n">
        <f aca="false">B19*D19</f>
        <v>0.167776926795956</v>
      </c>
      <c r="G19" s="5" t="n">
        <f aca="false">B19*Assumptions!$B$21</f>
        <v>0.516661892788323</v>
      </c>
    </row>
    <row r="20" s="1" customFormat="true" ht="15" hidden="false" customHeight="true" outlineLevel="0" collapsed="false">
      <c r="A20" s="1" t="s">
        <v>135</v>
      </c>
      <c r="B20" s="5" t="n">
        <f aca="false">Table6!L20</f>
        <v>4.91078307386036</v>
      </c>
      <c r="C20" s="3" t="n">
        <f aca="false">Assumptions!$B$9</f>
        <v>0.353</v>
      </c>
      <c r="D20" s="6" t="n">
        <f aca="false">Assumptions!$B$10</f>
        <v>0.0516</v>
      </c>
      <c r="E20" s="5" t="n">
        <f aca="false">B20*C20</f>
        <v>1.73350642507271</v>
      </c>
      <c r="F20" s="5" t="n">
        <f aca="false">B20*D20</f>
        <v>0.253396406611195</v>
      </c>
      <c r="G20" s="5" t="n">
        <f aca="false">B20*Assumptions!$B$21</f>
        <v>0.780323430436411</v>
      </c>
    </row>
    <row r="21" s="1" customFormat="true" ht="15.75" hidden="false" customHeight="true" outlineLevel="0" collapsed="false">
      <c r="A21" s="1" t="s">
        <v>136</v>
      </c>
      <c r="B21" s="5" t="n">
        <f aca="false">Table6!L21</f>
        <v>5.61455450547536</v>
      </c>
      <c r="C21" s="3" t="n">
        <f aca="false">Assumptions!$B$9</f>
        <v>0.353</v>
      </c>
      <c r="D21" s="6" t="n">
        <f aca="false">Assumptions!$B$10</f>
        <v>0.0516</v>
      </c>
      <c r="E21" s="5" t="n">
        <f aca="false">B21*C21</f>
        <v>1.9819377404328</v>
      </c>
      <c r="F21" s="5" t="n">
        <f aca="false">B21*D21</f>
        <v>0.289711012482529</v>
      </c>
      <c r="G21" s="5" t="n">
        <f aca="false">B21*Assumptions!$B$21</f>
        <v>0.892152710920035</v>
      </c>
    </row>
    <row r="22" s="1" customFormat="true" ht="15.75" hidden="false" customHeight="true" outlineLevel="0" collapsed="false">
      <c r="A22" s="1" t="s">
        <v>137</v>
      </c>
      <c r="B22" s="5" t="n">
        <f aca="false">Table6!L22</f>
        <v>9.65776996465675</v>
      </c>
      <c r="C22" s="3" t="n">
        <f aca="false">Assumptions!$B$9</f>
        <v>0.353</v>
      </c>
      <c r="D22" s="6" t="n">
        <f aca="false">Assumptions!$B$10</f>
        <v>0.0516</v>
      </c>
      <c r="E22" s="5" t="n">
        <f aca="false">B22*C22</f>
        <v>3.40919279752383</v>
      </c>
      <c r="F22" s="5" t="n">
        <f aca="false">B22*D22</f>
        <v>0.498340930176288</v>
      </c>
      <c r="G22" s="5" t="n">
        <f aca="false">B22*Assumptions!$B$21</f>
        <v>1.53461964738396</v>
      </c>
    </row>
    <row r="23" s="1" customFormat="true" ht="15.75" hidden="false" customHeight="true" outlineLevel="0" collapsed="false">
      <c r="A23" s="1" t="s">
        <v>138</v>
      </c>
      <c r="B23" s="5" t="n">
        <f aca="false">Table6!L23</f>
        <v>40.5080465491494</v>
      </c>
      <c r="C23" s="3" t="n">
        <f aca="false">Assumptions!$B$9</f>
        <v>0.353</v>
      </c>
      <c r="D23" s="6" t="n">
        <f aca="false">Assumptions!$B$10</f>
        <v>0.0516</v>
      </c>
      <c r="E23" s="5" t="n">
        <f aca="false">B23*C23</f>
        <v>14.2993404318497</v>
      </c>
      <c r="F23" s="5" t="n">
        <f aca="false">B23*D23</f>
        <v>2.09021520193611</v>
      </c>
      <c r="G23" s="5" t="n">
        <f aca="false">B23*Assumptions!$B$21</f>
        <v>6.43672859665984</v>
      </c>
    </row>
    <row r="24" s="1" customFormat="true" ht="15.75" hidden="false" customHeight="true" outlineLevel="0" collapsed="false">
      <c r="A24" s="1" t="s">
        <v>139</v>
      </c>
      <c r="B24" s="5" t="n">
        <f aca="false">Table6!L24</f>
        <v>5.50150432278334</v>
      </c>
      <c r="C24" s="3" t="n">
        <f aca="false">Assumptions!$B$9</f>
        <v>0.353</v>
      </c>
      <c r="D24" s="6" t="n">
        <f aca="false">Assumptions!$B$10</f>
        <v>0.0516</v>
      </c>
      <c r="E24" s="5" t="n">
        <f aca="false">B24*C24</f>
        <v>1.94203102594252</v>
      </c>
      <c r="F24" s="5" t="n">
        <f aca="false">B24*D24</f>
        <v>0.28387762305562</v>
      </c>
      <c r="G24" s="5" t="n">
        <f aca="false">B24*Assumptions!$B$21</f>
        <v>0.874189036890272</v>
      </c>
    </row>
    <row r="25" s="1" customFormat="true" ht="15.75" hidden="false" customHeight="true" outlineLevel="0" collapsed="false">
      <c r="A25" s="1" t="s">
        <v>141</v>
      </c>
      <c r="B25" s="5" t="n">
        <f aca="false">Table6!L25</f>
        <v>6.96431020212766</v>
      </c>
      <c r="C25" s="3" t="n">
        <f aca="false">Assumptions!$B$9</f>
        <v>0.353</v>
      </c>
      <c r="D25" s="6" t="n">
        <f aca="false">Assumptions!$B$10</f>
        <v>0.0516</v>
      </c>
      <c r="E25" s="5" t="n">
        <f aca="false">B25*C25</f>
        <v>2.45840150135106</v>
      </c>
      <c r="F25" s="5" t="n">
        <f aca="false">B25*D25</f>
        <v>0.359358406429787</v>
      </c>
      <c r="G25" s="5" t="n">
        <f aca="false">B25*Assumptions!$B$21</f>
        <v>1.10662889111809</v>
      </c>
    </row>
    <row r="26" s="1" customFormat="true" ht="15.75" hidden="false" customHeight="true" outlineLevel="0" collapsed="false">
      <c r="A26" s="1" t="s">
        <v>142</v>
      </c>
      <c r="B26" s="5" t="n">
        <f aca="false">Table6!L26</f>
        <v>8.7787665</v>
      </c>
      <c r="C26" s="3" t="n">
        <f aca="false">Assumptions!$B$9</f>
        <v>0.353</v>
      </c>
      <c r="D26" s="6" t="n">
        <f aca="false">Assumptions!$B$10</f>
        <v>0.0516</v>
      </c>
      <c r="E26" s="5" t="n">
        <f aca="false">B26*C26</f>
        <v>3.0989045745</v>
      </c>
      <c r="F26" s="5" t="n">
        <f aca="false">B26*D26</f>
        <v>0.4529843514</v>
      </c>
      <c r="G26" s="5" t="n">
        <f aca="false">B26*Assumptions!$B$21</f>
        <v>1.39494599685</v>
      </c>
    </row>
    <row r="27" s="1" customFormat="true" ht="15.75" hidden="false" customHeight="true" outlineLevel="0" collapsed="false">
      <c r="A27" s="1" t="s">
        <v>143</v>
      </c>
      <c r="B27" s="5" t="n">
        <f aca="false">Table6!L27</f>
        <v>11.2974738709677</v>
      </c>
      <c r="C27" s="3" t="n">
        <f aca="false">Assumptions!$B$9</f>
        <v>0.353</v>
      </c>
      <c r="D27" s="6" t="n">
        <f aca="false">Assumptions!$B$10</f>
        <v>0.0516</v>
      </c>
      <c r="E27" s="5" t="n">
        <f aca="false">B27*C27</f>
        <v>3.98800827645161</v>
      </c>
      <c r="F27" s="5" t="n">
        <f aca="false">B27*D27</f>
        <v>0.582949651741936</v>
      </c>
      <c r="G27" s="5" t="n">
        <f aca="false">B27*Assumptions!$B$21</f>
        <v>1.79516859809677</v>
      </c>
    </row>
    <row r="28" s="1" customFormat="true" ht="15.75" hidden="false" customHeight="true" outlineLevel="0" collapsed="false">
      <c r="A28" s="1" t="s">
        <v>144</v>
      </c>
      <c r="B28" s="5" t="n">
        <f aca="false">Table6!L28</f>
        <v>19.327335067623</v>
      </c>
      <c r="C28" s="3" t="n">
        <f aca="false">Assumptions!$B$9</f>
        <v>0.353</v>
      </c>
      <c r="D28" s="6" t="n">
        <f aca="false">Assumptions!$B$10</f>
        <v>0.0516</v>
      </c>
      <c r="E28" s="5" t="n">
        <f aca="false">B28*C28</f>
        <v>6.8225492788709</v>
      </c>
      <c r="F28" s="5" t="n">
        <f aca="false">B28*D28</f>
        <v>0.997290489489344</v>
      </c>
      <c r="G28" s="5" t="n">
        <f aca="false">B28*Assumptions!$B$21</f>
        <v>3.07111354224529</v>
      </c>
    </row>
    <row r="29" s="1" customFormat="true" ht="15.75" hidden="false" customHeight="true" outlineLevel="0" collapsed="false">
      <c r="A29" s="1" t="s">
        <v>145</v>
      </c>
      <c r="B29" s="5" t="n">
        <f aca="false">Table6!L29</f>
        <v>13.5017830889279</v>
      </c>
      <c r="C29" s="3" t="n">
        <f aca="false">Assumptions!$B$9</f>
        <v>0.353</v>
      </c>
      <c r="D29" s="6" t="n">
        <f aca="false">Assumptions!$B$10</f>
        <v>0.0516</v>
      </c>
      <c r="E29" s="5" t="n">
        <f aca="false">B29*C29</f>
        <v>4.76612943039153</v>
      </c>
      <c r="F29" s="5" t="n">
        <f aca="false">B29*D29</f>
        <v>0.696692007388677</v>
      </c>
      <c r="G29" s="5" t="n">
        <f aca="false">B29*Assumptions!$B$21</f>
        <v>2.14543333283064</v>
      </c>
    </row>
    <row r="30" s="1" customFormat="true" ht="15.75" hidden="false" customHeight="true" outlineLevel="0" collapsed="false">
      <c r="A30" s="1" t="s">
        <v>147</v>
      </c>
      <c r="B30" s="5" t="n">
        <f aca="false">Table6!L30</f>
        <v>11.1690934860704</v>
      </c>
      <c r="C30" s="3" t="n">
        <f aca="false">Assumptions!$B$9</f>
        <v>0.353</v>
      </c>
      <c r="D30" s="6" t="n">
        <f aca="false">Assumptions!$B$10</f>
        <v>0.0516</v>
      </c>
      <c r="E30" s="5" t="n">
        <f aca="false">B30*C30</f>
        <v>3.94269000058284</v>
      </c>
      <c r="F30" s="5" t="n">
        <f aca="false">B30*D30</f>
        <v>0.576325223881232</v>
      </c>
      <c r="G30" s="5" t="n">
        <f aca="false">B30*Assumptions!$B$21</f>
        <v>1.77476895493658</v>
      </c>
    </row>
    <row r="31" s="1" customFormat="true" ht="15.75" hidden="false" customHeight="true" outlineLevel="0" collapsed="false">
      <c r="A31" s="1" t="s">
        <v>148</v>
      </c>
      <c r="B31" s="5" t="n">
        <f aca="false">Table6!L31</f>
        <v>13.122528916653</v>
      </c>
      <c r="C31" s="3" t="n">
        <f aca="false">Assumptions!$B$9</f>
        <v>0.353</v>
      </c>
      <c r="D31" s="6" t="n">
        <f aca="false">Assumptions!$B$10</f>
        <v>0.0516</v>
      </c>
      <c r="E31" s="5" t="n">
        <f aca="false">B31*C31</f>
        <v>4.6322527075785</v>
      </c>
      <c r="F31" s="5" t="n">
        <f aca="false">B31*D31</f>
        <v>0.677122492099294</v>
      </c>
      <c r="G31" s="5" t="n">
        <f aca="false">B31*Assumptions!$B$21</f>
        <v>2.08516984485616</v>
      </c>
    </row>
    <row r="32" s="1" customFormat="true" ht="15.75" hidden="false" customHeight="true" outlineLevel="0" collapsed="false">
      <c r="A32" s="1" t="s">
        <v>149</v>
      </c>
      <c r="B32" s="5" t="n">
        <f aca="false">Table6!L32</f>
        <v>18.6190522785467</v>
      </c>
      <c r="C32" s="3" t="n">
        <f aca="false">Assumptions!$B$9</f>
        <v>0.353</v>
      </c>
      <c r="D32" s="6" t="n">
        <f aca="false">Assumptions!$B$10</f>
        <v>0.0516</v>
      </c>
      <c r="E32" s="5" t="n">
        <f aca="false">B32*C32</f>
        <v>6.57252545432699</v>
      </c>
      <c r="F32" s="5" t="n">
        <f aca="false">B32*D32</f>
        <v>0.960743097573011</v>
      </c>
      <c r="G32" s="5" t="n">
        <f aca="false">B32*Assumptions!$B$21</f>
        <v>2.95856740706107</v>
      </c>
    </row>
    <row r="33" s="1" customFormat="true" ht="15.75" hidden="false" customHeight="true" outlineLevel="0" collapsed="false">
      <c r="A33" s="1" t="s">
        <v>150</v>
      </c>
      <c r="B33" s="5" t="n">
        <f aca="false">Table6!L33</f>
        <v>19.4138913785679</v>
      </c>
      <c r="C33" s="3" t="n">
        <f aca="false">Assumptions!$B$9</f>
        <v>0.353</v>
      </c>
      <c r="D33" s="6" t="n">
        <f aca="false">Assumptions!$B$10</f>
        <v>0.0516</v>
      </c>
      <c r="E33" s="5" t="n">
        <f aca="false">B33*C33</f>
        <v>6.85310365663445</v>
      </c>
      <c r="F33" s="5" t="n">
        <f aca="false">B33*D33</f>
        <v>1.0017567951341</v>
      </c>
      <c r="G33" s="5" t="n">
        <f aca="false">B33*Assumptions!$B$21</f>
        <v>3.08486734005443</v>
      </c>
    </row>
    <row r="34" s="1" customFormat="true" ht="15.75" hidden="false" customHeight="true" outlineLevel="0" collapsed="false">
      <c r="A34" s="1" t="s">
        <v>151</v>
      </c>
      <c r="B34" s="5" t="n">
        <f aca="false">Table6!L34</f>
        <v>5.82354773210162</v>
      </c>
      <c r="C34" s="3" t="n">
        <f aca="false">Assumptions!$B$9</f>
        <v>0.353</v>
      </c>
      <c r="D34" s="6" t="n">
        <f aca="false">Assumptions!$B$10</f>
        <v>0.0516</v>
      </c>
      <c r="E34" s="5" t="n">
        <f aca="false">B34*C34</f>
        <v>2.05571234943187</v>
      </c>
      <c r="F34" s="5" t="n">
        <f aca="false">B34*D34</f>
        <v>0.300495062976443</v>
      </c>
      <c r="G34" s="5" t="n">
        <f aca="false">B34*Assumptions!$B$21</f>
        <v>0.925361734630947</v>
      </c>
    </row>
    <row r="35" s="1" customFormat="true" ht="15.75" hidden="false" customHeight="true" outlineLevel="0" collapsed="false">
      <c r="A35" s="1" t="s">
        <v>152</v>
      </c>
      <c r="B35" s="5" t="n">
        <f aca="false">Table6!L35</f>
        <v>5.12781928361775</v>
      </c>
      <c r="C35" s="3" t="n">
        <f aca="false">Assumptions!$B$9</f>
        <v>0.353</v>
      </c>
      <c r="D35" s="6" t="n">
        <f aca="false">Assumptions!$B$10</f>
        <v>0.0516</v>
      </c>
      <c r="E35" s="5" t="n">
        <f aca="false">B35*C35</f>
        <v>1.81012020711706</v>
      </c>
      <c r="F35" s="5" t="n">
        <f aca="false">B35*D35</f>
        <v>0.264595475034676</v>
      </c>
      <c r="G35" s="5" t="n">
        <f aca="false">B35*Assumptions!$B$21</f>
        <v>0.81481048416686</v>
      </c>
    </row>
    <row r="36" s="1" customFormat="true" ht="15.75" hidden="false" customHeight="true" outlineLevel="0" collapsed="false">
      <c r="A36" s="1" t="s">
        <v>153</v>
      </c>
      <c r="B36" s="5" t="n">
        <f aca="false">Table6!L36</f>
        <v>5.53719416477652</v>
      </c>
      <c r="C36" s="3" t="n">
        <f aca="false">Assumptions!$B$9</f>
        <v>0.353</v>
      </c>
      <c r="D36" s="6" t="n">
        <f aca="false">Assumptions!$B$10</f>
        <v>0.0516</v>
      </c>
      <c r="E36" s="5" t="n">
        <f aca="false">B36*C36</f>
        <v>1.95462954016611</v>
      </c>
      <c r="F36" s="5" t="n">
        <f aca="false">B36*D36</f>
        <v>0.285719218902468</v>
      </c>
      <c r="G36" s="5" t="n">
        <f aca="false">B36*Assumptions!$B$21</f>
        <v>0.879860152782989</v>
      </c>
    </row>
    <row r="37" s="1" customFormat="true" ht="15.75" hidden="false" customHeight="true" outlineLevel="0" collapsed="false">
      <c r="A37" s="1" t="s">
        <v>154</v>
      </c>
      <c r="B37" s="5" t="n">
        <f aca="false">Table6!L37</f>
        <v>7.45852231933594</v>
      </c>
      <c r="C37" s="3" t="n">
        <f aca="false">Assumptions!$B$9</f>
        <v>0.353</v>
      </c>
      <c r="D37" s="6" t="n">
        <f aca="false">Assumptions!$B$10</f>
        <v>0.0516</v>
      </c>
      <c r="E37" s="5" t="n">
        <f aca="false">B37*C37</f>
        <v>2.63285837872559</v>
      </c>
      <c r="F37" s="5" t="n">
        <f aca="false">B37*D37</f>
        <v>0.384859751677734</v>
      </c>
      <c r="G37" s="5" t="n">
        <f aca="false">B37*Assumptions!$B$21</f>
        <v>1.18515919654248</v>
      </c>
    </row>
    <row r="38" s="1" customFormat="true" ht="15.75" hidden="false" customHeight="true" outlineLevel="0" collapsed="false">
      <c r="A38" s="1" t="s">
        <v>155</v>
      </c>
      <c r="B38" s="5" t="n">
        <f aca="false">Table6!L38</f>
        <v>9.36883368870968</v>
      </c>
      <c r="C38" s="3" t="n">
        <f aca="false">Assumptions!$B$9</f>
        <v>0.353</v>
      </c>
      <c r="D38" s="6" t="n">
        <f aca="false">Assumptions!$B$10</f>
        <v>0.0516</v>
      </c>
      <c r="E38" s="5" t="n">
        <f aca="false">B38*C38</f>
        <v>3.30719829211452</v>
      </c>
      <c r="F38" s="5" t="n">
        <f aca="false">B38*D38</f>
        <v>0.483431818337419</v>
      </c>
      <c r="G38" s="5" t="n">
        <f aca="false">B38*Assumptions!$B$21</f>
        <v>1.48870767313597</v>
      </c>
    </row>
    <row r="39" s="1" customFormat="true" ht="15.75" hidden="false" customHeight="true" outlineLevel="0" collapsed="false">
      <c r="A39" s="1" t="s">
        <v>156</v>
      </c>
      <c r="B39" s="5" t="n">
        <f aca="false">Table6!L39</f>
        <v>12.8677181130221</v>
      </c>
      <c r="C39" s="3" t="n">
        <f aca="false">Assumptions!$B$9</f>
        <v>0.353</v>
      </c>
      <c r="D39" s="6" t="n">
        <f aca="false">Assumptions!$B$10</f>
        <v>0.0516</v>
      </c>
      <c r="E39" s="5" t="n">
        <f aca="false">B39*C39</f>
        <v>4.54230449389681</v>
      </c>
      <c r="F39" s="5" t="n">
        <f aca="false">B39*D39</f>
        <v>0.663974254631941</v>
      </c>
      <c r="G39" s="5" t="n">
        <f aca="false">B39*Assumptions!$B$21</f>
        <v>2.04468040815921</v>
      </c>
    </row>
    <row r="40" s="1" customFormat="true" ht="15.75" hidden="false" customHeight="true" outlineLevel="0" collapsed="false">
      <c r="A40" s="1" t="s">
        <v>157</v>
      </c>
      <c r="B40" s="5" t="n">
        <f aca="false">Table6!L40</f>
        <v>12.0031178428225</v>
      </c>
      <c r="C40" s="3" t="n">
        <f aca="false">Assumptions!$B$9</f>
        <v>0.353</v>
      </c>
      <c r="D40" s="6" t="n">
        <f aca="false">Assumptions!$B$10</f>
        <v>0.0516</v>
      </c>
      <c r="E40" s="5" t="n">
        <f aca="false">B40*C40</f>
        <v>4.23710059851633</v>
      </c>
      <c r="F40" s="5" t="n">
        <f aca="false">B40*D40</f>
        <v>0.61936088068964</v>
      </c>
      <c r="G40" s="5" t="n">
        <f aca="false">B40*Assumptions!$B$21</f>
        <v>1.90729542522449</v>
      </c>
    </row>
    <row r="41" s="1" customFormat="true" ht="15.75" hidden="false" customHeight="true" outlineLevel="0" collapsed="false">
      <c r="A41" s="1" t="s">
        <v>158</v>
      </c>
      <c r="B41" s="5" t="n">
        <f aca="false">Table6!L41</f>
        <v>12.9570272894295</v>
      </c>
      <c r="C41" s="3" t="n">
        <f aca="false">Assumptions!$B$9</f>
        <v>0.353</v>
      </c>
      <c r="D41" s="6" t="n">
        <f aca="false">Assumptions!$B$10</f>
        <v>0.0516</v>
      </c>
      <c r="E41" s="5" t="n">
        <f aca="false">B41*C41</f>
        <v>4.57383063316862</v>
      </c>
      <c r="F41" s="5" t="n">
        <f aca="false">B41*D41</f>
        <v>0.668582608134564</v>
      </c>
      <c r="G41" s="5" t="n">
        <f aca="false">B41*Assumptions!$B$21</f>
        <v>2.05887163629035</v>
      </c>
    </row>
    <row r="42" s="1" customFormat="true" ht="15.75" hidden="false" customHeight="true" outlineLevel="0" collapsed="false">
      <c r="A42" s="1" t="s">
        <v>159</v>
      </c>
      <c r="B42" s="5" t="n">
        <f aca="false">Table6!L42</f>
        <v>14.4581544221518</v>
      </c>
      <c r="C42" s="3" t="n">
        <f aca="false">Assumptions!$B$9</f>
        <v>0.353</v>
      </c>
      <c r="D42" s="6" t="n">
        <f aca="false">Assumptions!$B$10</f>
        <v>0.0516</v>
      </c>
      <c r="E42" s="5" t="n">
        <f aca="false">B42*C42</f>
        <v>5.10372851101958</v>
      </c>
      <c r="F42" s="5" t="n">
        <f aca="false">B42*D42</f>
        <v>0.746040768183032</v>
      </c>
      <c r="G42" s="5" t="n">
        <f aca="false">B42*Assumptions!$B$21</f>
        <v>2.29740073767992</v>
      </c>
    </row>
    <row r="43" s="1" customFormat="true" ht="15.75" hidden="false" customHeight="true" outlineLevel="0" collapsed="false">
      <c r="A43" s="1" t="s">
        <v>160</v>
      </c>
      <c r="B43" s="5" t="n">
        <f aca="false">Table6!L43</f>
        <v>16.356577208205</v>
      </c>
      <c r="C43" s="3" t="n">
        <f aca="false">Assumptions!$B$9</f>
        <v>0.353</v>
      </c>
      <c r="D43" s="6" t="n">
        <f aca="false">Assumptions!$B$10</f>
        <v>0.0516</v>
      </c>
      <c r="E43" s="5" t="n">
        <f aca="false">B43*C43</f>
        <v>5.77387175449638</v>
      </c>
      <c r="F43" s="5" t="n">
        <f aca="false">B43*D43</f>
        <v>0.84399938394338</v>
      </c>
      <c r="G43" s="5" t="n">
        <f aca="false">B43*Assumptions!$B$21</f>
        <v>2.59906011838378</v>
      </c>
    </row>
    <row r="44" s="1" customFormat="true" ht="15.75" hidden="false" customHeight="true" outlineLevel="0" collapsed="false">
      <c r="A44" s="1" t="s">
        <v>161</v>
      </c>
      <c r="B44" s="5" t="n">
        <f aca="false">Table6!L44</f>
        <v>16.356577208205</v>
      </c>
      <c r="C44" s="3" t="n">
        <f aca="false">Assumptions!$B$9</f>
        <v>0.353</v>
      </c>
      <c r="D44" s="6" t="n">
        <f aca="false">Assumptions!$B$10</f>
        <v>0.0516</v>
      </c>
      <c r="E44" s="5" t="n">
        <f aca="false">B44*C44</f>
        <v>5.77387175449638</v>
      </c>
      <c r="F44" s="5" t="n">
        <f aca="false">B44*D44</f>
        <v>0.84399938394338</v>
      </c>
      <c r="G44" s="5" t="n">
        <f aca="false">B44*Assumptions!$B$21</f>
        <v>2.59906011838378</v>
      </c>
    </row>
    <row r="45" s="1" customFormat="true" ht="15.75" hidden="false" customHeight="true" outlineLevel="0" collapsed="false">
      <c r="A45" s="1" t="s">
        <v>163</v>
      </c>
      <c r="B45" s="5" t="n">
        <f aca="false">Table6!L45</f>
        <v>6.73684056241611</v>
      </c>
      <c r="C45" s="3" t="n">
        <f aca="false">Assumptions!$B$9</f>
        <v>0.353</v>
      </c>
      <c r="D45" s="6" t="n">
        <f aca="false">Assumptions!$B$10</f>
        <v>0.0516</v>
      </c>
      <c r="E45" s="5" t="n">
        <f aca="false">B45*C45</f>
        <v>2.37810471853289</v>
      </c>
      <c r="F45" s="5" t="n">
        <f aca="false">B45*D45</f>
        <v>0.347620973020671</v>
      </c>
      <c r="G45" s="5" t="n">
        <f aca="false">B45*Assumptions!$B$21</f>
        <v>1.07048396536792</v>
      </c>
    </row>
    <row r="46" s="1" customFormat="true" ht="15.75" hidden="false" customHeight="true" outlineLevel="0" collapsed="false">
      <c r="A46" s="1" t="s">
        <v>164</v>
      </c>
      <c r="B46" s="5" t="n">
        <f aca="false">Table6!L46</f>
        <v>6.86899928255528</v>
      </c>
      <c r="C46" s="3" t="n">
        <f aca="false">Assumptions!$B$9</f>
        <v>0.353</v>
      </c>
      <c r="D46" s="6" t="n">
        <f aca="false">Assumptions!$B$10</f>
        <v>0.0516</v>
      </c>
      <c r="E46" s="5" t="n">
        <f aca="false">B46*C46</f>
        <v>2.42475674674202</v>
      </c>
      <c r="F46" s="5" t="n">
        <f aca="false">B46*D46</f>
        <v>0.354440362979853</v>
      </c>
      <c r="G46" s="5" t="n">
        <f aca="false">B46*Assumptions!$B$21</f>
        <v>1.09148398599803</v>
      </c>
    </row>
    <row r="47" s="1" customFormat="true" ht="15.75" hidden="false" customHeight="true" outlineLevel="0" collapsed="false">
      <c r="A47" s="1" t="s">
        <v>165</v>
      </c>
      <c r="B47" s="5" t="n">
        <f aca="false">Table6!L47</f>
        <v>6.82832611907021</v>
      </c>
      <c r="C47" s="3" t="n">
        <f aca="false">Assumptions!$B$9</f>
        <v>0.353</v>
      </c>
      <c r="D47" s="6" t="n">
        <f aca="false">Assumptions!$B$10</f>
        <v>0.0516</v>
      </c>
      <c r="E47" s="5" t="n">
        <f aca="false">B47*C47</f>
        <v>2.41039912003178</v>
      </c>
      <c r="F47" s="5" t="n">
        <f aca="false">B47*D47</f>
        <v>0.352341627744023</v>
      </c>
      <c r="G47" s="5" t="n">
        <f aca="false">B47*Assumptions!$B$21</f>
        <v>1.08502102032026</v>
      </c>
    </row>
    <row r="48" s="1" customFormat="true" ht="15.75" hidden="false" customHeight="true" outlineLevel="0" collapsed="false">
      <c r="A48" s="1" t="s">
        <v>166</v>
      </c>
      <c r="B48" s="5" t="n">
        <f aca="false">Table6!L48</f>
        <v>7.17712477151382</v>
      </c>
      <c r="C48" s="3" t="n">
        <f aca="false">Assumptions!$B$9</f>
        <v>0.353</v>
      </c>
      <c r="D48" s="6" t="n">
        <f aca="false">Assumptions!$B$10</f>
        <v>0.0516</v>
      </c>
      <c r="E48" s="5" t="n">
        <f aca="false">B48*C48</f>
        <v>2.53352504434438</v>
      </c>
      <c r="F48" s="5" t="n">
        <f aca="false">B48*D48</f>
        <v>0.370339638210113</v>
      </c>
      <c r="G48" s="5" t="n">
        <f aca="false">B48*Assumptions!$B$21</f>
        <v>1.14044512619355</v>
      </c>
    </row>
    <row r="49" s="1" customFormat="true" ht="15.75" hidden="false" customHeight="true" outlineLevel="0" collapsed="false">
      <c r="A49" s="1" t="s">
        <v>167</v>
      </c>
      <c r="B49" s="5" t="n">
        <f aca="false">Table6!L49</f>
        <v>8.34176426086957</v>
      </c>
      <c r="C49" s="3" t="n">
        <f aca="false">Assumptions!$B$9</f>
        <v>0.353</v>
      </c>
      <c r="D49" s="6" t="n">
        <f aca="false">Assumptions!$B$10</f>
        <v>0.0516</v>
      </c>
      <c r="E49" s="5" t="n">
        <f aca="false">B49*C49</f>
        <v>2.94464278408696</v>
      </c>
      <c r="F49" s="5" t="n">
        <f aca="false">B49*D49</f>
        <v>0.43043503586087</v>
      </c>
      <c r="G49" s="5" t="n">
        <f aca="false">B49*Assumptions!$B$21</f>
        <v>1.32550634105217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 min="1" style="1" width="26"/>
    <col collapsed="false" customWidth="true" hidden="false" outlineLevel="0" max="2" min="2" style="1" width="12"/>
    <col collapsed="false" customWidth="true" hidden="false" outlineLevel="0" max="3" min="3" style="1" width="10"/>
    <col collapsed="false" customWidth="true" hidden="false" outlineLevel="0" max="4" min="4" style="1" width="9"/>
    <col collapsed="false" customWidth="true" hidden="false" outlineLevel="0" max="5" min="5" style="1" width="18"/>
    <col collapsed="false" customWidth="true" hidden="false" outlineLevel="0" max="7" min="6" style="1" width="10"/>
    <col collapsed="false" customWidth="true" hidden="false" outlineLevel="0" max="8" min="8" style="1" width="8"/>
    <col collapsed="false" customWidth="true" hidden="false" outlineLevel="0" max="9" min="9" style="1" width="12"/>
    <col collapsed="false" customWidth="true" hidden="false" outlineLevel="0" max="10" min="10" style="1" width="10"/>
    <col collapsed="false" customWidth="true" hidden="false" outlineLevel="0" max="13" min="11" style="1" width="20"/>
  </cols>
  <sheetData>
    <row r="1" s="1" customFormat="true" ht="15" hidden="false" customHeight="true" outlineLevel="0" collapsed="false">
      <c r="A1" s="2" t="s">
        <v>188</v>
      </c>
    </row>
    <row r="2" s="1" customFormat="true" ht="15" hidden="false" customHeight="true" outlineLevel="0" collapsed="false">
      <c r="A2" s="2" t="s">
        <v>169</v>
      </c>
      <c r="B2" s="2" t="s">
        <v>189</v>
      </c>
      <c r="C2" s="2" t="s">
        <v>190</v>
      </c>
      <c r="D2" s="2" t="s">
        <v>191</v>
      </c>
      <c r="E2" s="2" t="s">
        <v>178</v>
      </c>
      <c r="F2" s="2" t="s">
        <v>192</v>
      </c>
      <c r="G2" s="2" t="s">
        <v>193</v>
      </c>
      <c r="H2" s="2" t="s">
        <v>194</v>
      </c>
      <c r="I2" s="2" t="s">
        <v>195</v>
      </c>
      <c r="J2" s="2" t="s">
        <v>196</v>
      </c>
      <c r="K2" s="2" t="s">
        <v>197</v>
      </c>
      <c r="L2" s="2" t="s">
        <v>198</v>
      </c>
      <c r="M2" s="2" t="s">
        <v>199</v>
      </c>
    </row>
    <row r="3" s="1" customFormat="true" ht="15" hidden="false" customHeight="true" outlineLevel="0" collapsed="false">
      <c r="A3" s="1" t="s">
        <v>107</v>
      </c>
      <c r="B3" s="5" t="n">
        <f aca="false">Table6!L3</f>
        <v>2.0195</v>
      </c>
      <c r="C3" s="4" t="n">
        <f aca="false">Corpus!E3</f>
        <v>80.1</v>
      </c>
      <c r="D3" s="4" t="n">
        <f aca="false">Corpus!F3</f>
        <v>23.9</v>
      </c>
      <c r="E3" s="1" t="str">
        <f aca="false">Corpus!Q3</f>
        <v>None</v>
      </c>
      <c r="F3" s="5" t="n">
        <f aca="false">IF(Corpus!R3="5x",Assumptions!$B$17,Assumptions!$B$19)</f>
        <v>0.4085</v>
      </c>
      <c r="G3" s="5" t="n">
        <f aca="false">Bootstrap!D3</f>
        <v>0.866</v>
      </c>
      <c r="H3" s="5" t="n">
        <f aca="false">IF(Corpus!Q3="None",1,Bootstrap!K3)</f>
        <v>1</v>
      </c>
      <c r="I3" s="5" t="n">
        <f aca="false">F3*G3*H3</f>
        <v>0.353761</v>
      </c>
      <c r="J3" s="5" t="n">
        <f aca="false">B3*I3</f>
        <v>0.7144203395</v>
      </c>
      <c r="K3" s="5" t="n">
        <f aca="false">J3*Assumptions!$B$9</f>
        <v>0.2521903798435</v>
      </c>
      <c r="L3" s="5" t="n">
        <f aca="false">J3*Assumptions!$B$10</f>
        <v>0.0368640895182</v>
      </c>
      <c r="M3" s="5" t="n">
        <f aca="false">J3*Assumptions!$B$21</f>
        <v>0.11352139194655</v>
      </c>
    </row>
    <row r="4" s="1" customFormat="true" ht="15" hidden="false" customHeight="true" outlineLevel="0" collapsed="false">
      <c r="A4" s="1" t="s">
        <v>110</v>
      </c>
      <c r="B4" s="5" t="n">
        <f aca="false">Table6!L4</f>
        <v>7.77886280848963</v>
      </c>
      <c r="C4" s="4" t="n">
        <f aca="false">Corpus!E4</f>
        <v>61.4</v>
      </c>
      <c r="D4" s="4" t="n">
        <f aca="false">Corpus!F4</f>
        <v>13.3</v>
      </c>
      <c r="E4" s="1" t="str">
        <f aca="false">Corpus!Q4</f>
        <v>None</v>
      </c>
      <c r="F4" s="5" t="n">
        <f aca="false">IF(Corpus!R4="5x",Assumptions!$B$17,Assumptions!$B$19)</f>
        <v>0.216505</v>
      </c>
      <c r="G4" s="5" t="n">
        <f aca="false">Bootstrap!D4</f>
        <v>0.8867</v>
      </c>
      <c r="H4" s="5" t="n">
        <f aca="false">IF(Corpus!Q4="None",1,Bootstrap!K4)</f>
        <v>1</v>
      </c>
      <c r="I4" s="5" t="n">
        <f aca="false">F4*G4*H4</f>
        <v>0.1919749835</v>
      </c>
      <c r="J4" s="5" t="n">
        <f aca="false">B4*I4</f>
        <v>1.49334705930856</v>
      </c>
      <c r="K4" s="5" t="n">
        <f aca="false">J4*Assumptions!$B$9</f>
        <v>0.527151511935922</v>
      </c>
      <c r="L4" s="5" t="n">
        <f aca="false">J4*Assumptions!$B$10</f>
        <v>0.0770567082603218</v>
      </c>
      <c r="M4" s="5" t="n">
        <f aca="false">J4*Assumptions!$B$21</f>
        <v>0.23729284772413</v>
      </c>
    </row>
    <row r="5" s="1" customFormat="true" ht="15" hidden="false" customHeight="true" outlineLevel="0" collapsed="false">
      <c r="A5" s="1" t="s">
        <v>113</v>
      </c>
      <c r="B5" s="5" t="n">
        <f aca="false">Table6!L5</f>
        <v>17.2843016023771</v>
      </c>
      <c r="C5" s="4" t="n">
        <f aca="false">Corpus!E5</f>
        <v>61.7</v>
      </c>
      <c r="D5" s="4" t="n">
        <f aca="false">Corpus!F5</f>
        <v>14.2</v>
      </c>
      <c r="E5" s="1" t="str">
        <f aca="false">Corpus!Q5</f>
        <v>Low</v>
      </c>
      <c r="F5" s="5" t="n">
        <f aca="false">IF(Corpus!R5="5x",Assumptions!$B$17,Assumptions!$B$19)</f>
        <v>0.216505</v>
      </c>
      <c r="G5" s="5" t="n">
        <f aca="false">Bootstrap!D5</f>
        <v>0.8833</v>
      </c>
      <c r="H5" s="5" t="n">
        <f aca="false">IF(Corpus!Q5="None",1,Bootstrap!K5)</f>
        <v>0.9725</v>
      </c>
      <c r="I5" s="5" t="n">
        <f aca="false">F5*G5*H5</f>
        <v>0.18597979767125</v>
      </c>
      <c r="J5" s="5" t="n">
        <f aca="false">B5*I5</f>
        <v>3.21453091489895</v>
      </c>
      <c r="K5" s="5" t="n">
        <f aca="false">J5*Assumptions!$B$9</f>
        <v>1.13472941295933</v>
      </c>
      <c r="L5" s="5" t="n">
        <f aca="false">J5*Assumptions!$B$10</f>
        <v>0.165869795208786</v>
      </c>
      <c r="M5" s="5" t="n">
        <f aca="false">J5*Assumptions!$B$21</f>
        <v>0.510788962377443</v>
      </c>
    </row>
    <row r="6" s="1" customFormat="true" ht="15" hidden="false" customHeight="true" outlineLevel="0" collapsed="false">
      <c r="A6" s="1" t="s">
        <v>115</v>
      </c>
      <c r="B6" s="5" t="n">
        <f aca="false">Table6!L6</f>
        <v>28.6048407272727</v>
      </c>
      <c r="C6" s="4" t="n">
        <f aca="false">Corpus!E6</f>
        <v>60.8</v>
      </c>
      <c r="D6" s="4" t="n">
        <f aca="false">Corpus!F6</f>
        <v>14.5</v>
      </c>
      <c r="E6" s="1" t="str">
        <f aca="false">Corpus!Q6</f>
        <v>Medium</v>
      </c>
      <c r="F6" s="5" t="n">
        <f aca="false">IF(Corpus!R6="5x",Assumptions!$B$17,Assumptions!$B$19)</f>
        <v>0.216505</v>
      </c>
      <c r="G6" s="5" t="n">
        <f aca="false">Bootstrap!D6</f>
        <v>0.8899</v>
      </c>
      <c r="H6" s="5" t="n">
        <f aca="false">IF(Corpus!Q6="None",1,Bootstrap!K6)</f>
        <v>0.8875</v>
      </c>
      <c r="I6" s="5" t="n">
        <f aca="false">F6*G6*H6</f>
        <v>0.17099267205625</v>
      </c>
      <c r="J6" s="5" t="n">
        <f aca="false">B6*I6</f>
        <v>4.89121814969981</v>
      </c>
      <c r="K6" s="5" t="n">
        <f aca="false">J6*Assumptions!$B$9</f>
        <v>1.72660000684403</v>
      </c>
      <c r="L6" s="5" t="n">
        <f aca="false">J6*Assumptions!$B$10</f>
        <v>0.25238685652451</v>
      </c>
      <c r="M6" s="5" t="n">
        <f aca="false">J6*Assumptions!$B$21</f>
        <v>0.7772145639873</v>
      </c>
    </row>
    <row r="7" s="1" customFormat="true" ht="15" hidden="false" customHeight="true" outlineLevel="0" collapsed="false">
      <c r="A7" s="1" t="s">
        <v>117</v>
      </c>
      <c r="B7" s="5" t="n">
        <f aca="false">Table6!L7</f>
        <v>41.93524062</v>
      </c>
      <c r="C7" s="4" t="n">
        <f aca="false">Corpus!E7</f>
        <v>68.1</v>
      </c>
      <c r="D7" s="4" t="n">
        <f aca="false">Corpus!F7</f>
        <v>15.7</v>
      </c>
      <c r="E7" s="1" t="str">
        <f aca="false">Corpus!Q7</f>
        <v>High</v>
      </c>
      <c r="F7" s="5" t="n">
        <f aca="false">IF(Corpus!R7="5x",Assumptions!$B$17,Assumptions!$B$19)</f>
        <v>0.216505</v>
      </c>
      <c r="G7" s="5" t="n">
        <f aca="false">Bootstrap!D7</f>
        <v>0.8882</v>
      </c>
      <c r="H7" s="5" t="n">
        <f aca="false">IF(Corpus!Q7="None",1,Bootstrap!K7)</f>
        <v>0.951</v>
      </c>
      <c r="I7" s="5" t="n">
        <f aca="false">F7*G7*H7</f>
        <v>0.182877053691</v>
      </c>
      <c r="J7" s="5" t="n">
        <f aca="false">B7*I7</f>
        <v>7.66899325040874</v>
      </c>
      <c r="K7" s="5" t="n">
        <f aca="false">J7*Assumptions!$B$9</f>
        <v>2.70715461739429</v>
      </c>
      <c r="L7" s="5" t="n">
        <f aca="false">J7*Assumptions!$B$10</f>
        <v>0.395720051721091</v>
      </c>
      <c r="M7" s="5" t="n">
        <f aca="false">J7*Assumptions!$B$21</f>
        <v>1.21860302748995</v>
      </c>
    </row>
    <row r="8" s="1" customFormat="true" ht="15" hidden="false" customHeight="true" outlineLevel="0" collapsed="false">
      <c r="A8" s="1" t="s">
        <v>119</v>
      </c>
      <c r="B8" s="5" t="n">
        <f aca="false">Table6!L8</f>
        <v>28.6660841653193</v>
      </c>
      <c r="C8" s="4" t="n">
        <f aca="false">Corpus!E8</f>
        <v>63.8</v>
      </c>
      <c r="D8" s="4" t="n">
        <f aca="false">Corpus!F8</f>
        <v>16.7</v>
      </c>
      <c r="E8" s="1" t="str">
        <f aca="false">Corpus!Q8</f>
        <v>xHigh</v>
      </c>
      <c r="F8" s="5" t="n">
        <f aca="false">IF(Corpus!R8="5x",Assumptions!$B$17,Assumptions!$B$19)</f>
        <v>0.216505</v>
      </c>
      <c r="G8" s="5" t="n">
        <f aca="false">Bootstrap!D8</f>
        <v>0.9</v>
      </c>
      <c r="H8" s="5" t="n">
        <f aca="false">IF(Corpus!Q8="None",1,Bootstrap!K8)</f>
        <v>0.9429</v>
      </c>
      <c r="I8" s="5" t="n">
        <f aca="false">F8*G8*H8</f>
        <v>0.18372830805</v>
      </c>
      <c r="J8" s="5" t="n">
        <f aca="false">B8*I8</f>
        <v>5.26677114211302</v>
      </c>
      <c r="K8" s="5" t="n">
        <f aca="false">J8*Assumptions!$B$9</f>
        <v>1.85917021316589</v>
      </c>
      <c r="L8" s="5" t="n">
        <f aca="false">J8*Assumptions!$B$10</f>
        <v>0.271765390933032</v>
      </c>
      <c r="M8" s="5" t="n">
        <f aca="false">J8*Assumptions!$B$21</f>
        <v>0.836889934481758</v>
      </c>
    </row>
    <row r="9" s="1" customFormat="true" ht="15" hidden="false" customHeight="true" outlineLevel="0" collapsed="false">
      <c r="A9" s="1" t="s">
        <v>121</v>
      </c>
      <c r="B9" s="5" t="n">
        <f aca="false">Table6!L9</f>
        <v>7.84078410447761</v>
      </c>
      <c r="C9" s="4" t="n">
        <f aca="false">Corpus!E9</f>
        <v>59.6</v>
      </c>
      <c r="D9" s="4" t="n">
        <f aca="false">Corpus!F9</f>
        <v>6.4</v>
      </c>
      <c r="E9" s="1" t="str">
        <f aca="false">Corpus!Q9</f>
        <v>None</v>
      </c>
      <c r="F9" s="5" t="n">
        <f aca="false">IF(Corpus!R9="5x",Assumptions!$B$17,Assumptions!$B$19)</f>
        <v>0.216505</v>
      </c>
      <c r="G9" s="5" t="n">
        <f aca="false">Bootstrap!D9</f>
        <v>0.8907</v>
      </c>
      <c r="H9" s="5" t="n">
        <f aca="false">IF(Corpus!Q9="None",1,Bootstrap!K9)</f>
        <v>1</v>
      </c>
      <c r="I9" s="5" t="n">
        <f aca="false">F9*G9*H9</f>
        <v>0.1928410035</v>
      </c>
      <c r="J9" s="5" t="n">
        <f aca="false">B9*I9</f>
        <v>1.51202467493431</v>
      </c>
      <c r="K9" s="5" t="n">
        <f aca="false">J9*Assumptions!$B$9</f>
        <v>0.533744710251812</v>
      </c>
      <c r="L9" s="5" t="n">
        <f aca="false">J9*Assumptions!$B$10</f>
        <v>0.0780204732266105</v>
      </c>
      <c r="M9" s="5" t="n">
        <f aca="false">J9*Assumptions!$B$21</f>
        <v>0.240260720847062</v>
      </c>
    </row>
    <row r="10" s="1" customFormat="true" ht="15" hidden="false" customHeight="true" outlineLevel="0" collapsed="false">
      <c r="A10" s="1" t="s">
        <v>123</v>
      </c>
      <c r="B10" s="5" t="n">
        <f aca="false">Table6!L10</f>
        <v>13.7245750061707</v>
      </c>
      <c r="C10" s="4" t="n">
        <f aca="false">Corpus!E10</f>
        <v>57</v>
      </c>
      <c r="D10" s="4" t="n">
        <f aca="false">Corpus!F10</f>
        <v>6</v>
      </c>
      <c r="E10" s="1" t="str">
        <f aca="false">Corpus!Q10</f>
        <v>Low</v>
      </c>
      <c r="F10" s="5" t="n">
        <f aca="false">IF(Corpus!R10="5x",Assumptions!$B$17,Assumptions!$B$19)</f>
        <v>0.216505</v>
      </c>
      <c r="G10" s="5" t="n">
        <f aca="false">Bootstrap!D10</f>
        <v>0.8991</v>
      </c>
      <c r="H10" s="5" t="n">
        <f aca="false">IF(Corpus!Q10="None",1,Bootstrap!K10)</f>
        <v>0.9779</v>
      </c>
      <c r="I10" s="5" t="n">
        <f aca="false">F10*G10*H10</f>
        <v>0.19035766733445</v>
      </c>
      <c r="J10" s="5" t="n">
        <f aca="false">B10*I10</f>
        <v>2.61257808333135</v>
      </c>
      <c r="K10" s="5" t="n">
        <f aca="false">J10*Assumptions!$B$9</f>
        <v>0.922240063415966</v>
      </c>
      <c r="L10" s="5" t="n">
        <f aca="false">J10*Assumptions!$B$10</f>
        <v>0.134809029099898</v>
      </c>
      <c r="M10" s="5" t="n">
        <f aca="false">J10*Assumptions!$B$21</f>
        <v>0.415138657441351</v>
      </c>
    </row>
    <row r="11" s="1" customFormat="true" ht="15" hidden="false" customHeight="true" outlineLevel="0" collapsed="false">
      <c r="A11" s="1" t="s">
        <v>124</v>
      </c>
      <c r="B11" s="5" t="n">
        <f aca="false">Table6!L11</f>
        <v>15.0562595700935</v>
      </c>
      <c r="C11" s="4" t="n">
        <f aca="false">Corpus!E11</f>
        <v>57.9</v>
      </c>
      <c r="D11" s="4" t="n">
        <f aca="false">Corpus!F11</f>
        <v>6.3</v>
      </c>
      <c r="E11" s="1" t="str">
        <f aca="false">Corpus!Q11</f>
        <v>Medium</v>
      </c>
      <c r="F11" s="5" t="n">
        <f aca="false">IF(Corpus!R11="5x",Assumptions!$B$17,Assumptions!$B$19)</f>
        <v>0.216505</v>
      </c>
      <c r="G11" s="5" t="n">
        <f aca="false">Bootstrap!D11</f>
        <v>0.8998</v>
      </c>
      <c r="H11" s="5" t="n">
        <f aca="false">IF(Corpus!Q11="None",1,Bootstrap!K11)</f>
        <v>0.9838</v>
      </c>
      <c r="I11" s="5" t="n">
        <f aca="false">F11*G11*H11</f>
        <v>0.1916552575762</v>
      </c>
      <c r="J11" s="5" t="n">
        <f aca="false">B11*I11</f>
        <v>2.88561130604039</v>
      </c>
      <c r="K11" s="5" t="n">
        <f aca="false">J11*Assumptions!$B$9</f>
        <v>1.01862079103226</v>
      </c>
      <c r="L11" s="5" t="n">
        <f aca="false">J11*Assumptions!$B$10</f>
        <v>0.148897543391684</v>
      </c>
      <c r="M11" s="5" t="n">
        <f aca="false">J11*Assumptions!$B$21</f>
        <v>0.458523636529818</v>
      </c>
    </row>
    <row r="12" s="1" customFormat="true" ht="15" hidden="false" customHeight="true" outlineLevel="0" collapsed="false">
      <c r="A12" s="1" t="s">
        <v>125</v>
      </c>
      <c r="B12" s="5" t="n">
        <f aca="false">Table6!L12</f>
        <v>16.8117453397268</v>
      </c>
      <c r="C12" s="4" t="n">
        <f aca="false">Corpus!E12</f>
        <v>57.5</v>
      </c>
      <c r="D12" s="4" t="n">
        <f aca="false">Corpus!F12</f>
        <v>6.4</v>
      </c>
      <c r="E12" s="1" t="str">
        <f aca="false">Corpus!Q12</f>
        <v>High</v>
      </c>
      <c r="F12" s="5" t="n">
        <f aca="false">IF(Corpus!R12="5x",Assumptions!$B$17,Assumptions!$B$19)</f>
        <v>0.216505</v>
      </c>
      <c r="G12" s="5" t="n">
        <f aca="false">Bootstrap!D12</f>
        <v>0.8995</v>
      </c>
      <c r="H12" s="5" t="n">
        <f aca="false">IF(Corpus!Q12="None",1,Bootstrap!K12)</f>
        <v>0.9646</v>
      </c>
      <c r="I12" s="5" t="n">
        <f aca="false">F12*G12*H12</f>
        <v>0.1878522303385</v>
      </c>
      <c r="J12" s="5" t="n">
        <f aca="false">B12*I12</f>
        <v>3.15812385795055</v>
      </c>
      <c r="K12" s="5" t="n">
        <f aca="false">J12*Assumptions!$B$9</f>
        <v>1.11481772185655</v>
      </c>
      <c r="L12" s="5" t="n">
        <f aca="false">J12*Assumptions!$B$10</f>
        <v>0.162959191070249</v>
      </c>
      <c r="M12" s="5" t="n">
        <f aca="false">J12*Assumptions!$B$21</f>
        <v>0.501825881028343</v>
      </c>
    </row>
    <row r="13" s="1" customFormat="true" ht="15" hidden="false" customHeight="true" outlineLevel="0" collapsed="false">
      <c r="A13" s="1" t="s">
        <v>126</v>
      </c>
      <c r="B13" s="5" t="n">
        <f aca="false">Table6!L13</f>
        <v>25.6341755586799</v>
      </c>
      <c r="C13" s="4" t="n">
        <f aca="false">Corpus!E13</f>
        <v>59.1</v>
      </c>
      <c r="D13" s="4" t="n">
        <f aca="false">Corpus!F13</f>
        <v>6.9</v>
      </c>
      <c r="E13" s="1" t="str">
        <f aca="false">Corpus!Q13</f>
        <v>xHigh</v>
      </c>
      <c r="F13" s="5" t="n">
        <f aca="false">IF(Corpus!R13="5x",Assumptions!$B$17,Assumptions!$B$19)</f>
        <v>0.216505</v>
      </c>
      <c r="G13" s="5" t="n">
        <f aca="false">Bootstrap!D13</f>
        <v>0.9016</v>
      </c>
      <c r="H13" s="5" t="n">
        <f aca="false">IF(Corpus!Q13="None",1,Bootstrap!K13)</f>
        <v>0.9268</v>
      </c>
      <c r="I13" s="5" t="n">
        <f aca="false">F13*G13*H13</f>
        <v>0.1809122015344</v>
      </c>
      <c r="J13" s="5" t="n">
        <f aca="false">B13*I13</f>
        <v>4.63753513484009</v>
      </c>
      <c r="K13" s="5" t="n">
        <f aca="false">J13*Assumptions!$B$9</f>
        <v>1.63704990259855</v>
      </c>
      <c r="L13" s="5" t="n">
        <f aca="false">J13*Assumptions!$B$10</f>
        <v>0.239296812957749</v>
      </c>
      <c r="M13" s="5" t="n">
        <f aca="false">J13*Assumptions!$B$21</f>
        <v>0.736904332926091</v>
      </c>
    </row>
    <row r="14" s="1" customFormat="true" ht="15" hidden="false" customHeight="true" outlineLevel="0" collapsed="false">
      <c r="A14" s="1" t="s">
        <v>127</v>
      </c>
      <c r="B14" s="5" t="n">
        <f aca="false">Table6!L14</f>
        <v>3.01953813705454</v>
      </c>
      <c r="C14" s="4" t="n">
        <f aca="false">Corpus!E14</f>
        <v>156.6</v>
      </c>
      <c r="D14" s="4" t="n">
        <f aca="false">Corpus!F14</f>
        <v>18.7</v>
      </c>
      <c r="E14" s="1" t="str">
        <f aca="false">Corpus!Q14</f>
        <v>None</v>
      </c>
      <c r="F14" s="5" t="n">
        <f aca="false">IF(Corpus!R14="5x",Assumptions!$B$17,Assumptions!$B$19)</f>
        <v>0.216505</v>
      </c>
      <c r="G14" s="5" t="n">
        <f aca="false">Bootstrap!D14</f>
        <v>0.8914</v>
      </c>
      <c r="H14" s="5" t="n">
        <f aca="false">IF(Corpus!Q14="None",1,Bootstrap!K14)</f>
        <v>1</v>
      </c>
      <c r="I14" s="5" t="n">
        <f aca="false">F14*G14*H14</f>
        <v>0.192992557</v>
      </c>
      <c r="J14" s="5" t="n">
        <f aca="false">B14*I14</f>
        <v>0.582748386029172</v>
      </c>
      <c r="K14" s="5" t="n">
        <f aca="false">J14*Assumptions!$B$9</f>
        <v>0.205710180268298</v>
      </c>
      <c r="L14" s="5" t="n">
        <f aca="false">J14*Assumptions!$B$10</f>
        <v>0.0300698167191053</v>
      </c>
      <c r="M14" s="5" t="n">
        <f aca="false">J14*Assumptions!$B$21</f>
        <v>0.0925987185400355</v>
      </c>
    </row>
    <row r="15" s="1" customFormat="true" ht="15" hidden="false" customHeight="true" outlineLevel="0" collapsed="false">
      <c r="A15" s="1" t="s">
        <v>129</v>
      </c>
      <c r="B15" s="5" t="n">
        <f aca="false">Table6!L15</f>
        <v>4.97293292751682</v>
      </c>
      <c r="C15" s="4" t="n">
        <f aca="false">Corpus!E15</f>
        <v>154.1</v>
      </c>
      <c r="D15" s="4" t="n">
        <f aca="false">Corpus!F15</f>
        <v>18.5</v>
      </c>
      <c r="E15" s="1" t="str">
        <f aca="false">Corpus!Q15</f>
        <v>Low</v>
      </c>
      <c r="F15" s="5" t="n">
        <f aca="false">IF(Corpus!R15="5x",Assumptions!$B$17,Assumptions!$B$19)</f>
        <v>0.216505</v>
      </c>
      <c r="G15" s="5" t="n">
        <f aca="false">Bootstrap!D15</f>
        <v>0.8991</v>
      </c>
      <c r="H15" s="5" t="n">
        <f aca="false">IF(Corpus!Q15="None",1,Bootstrap!K15)</f>
        <v>0.9887</v>
      </c>
      <c r="I15" s="5" t="n">
        <f aca="false">F15*G15*H15</f>
        <v>0.19245999150585</v>
      </c>
      <c r="J15" s="5" t="n">
        <f aca="false">B15*I15</f>
        <v>0.95709062898905</v>
      </c>
      <c r="K15" s="5" t="n">
        <f aca="false">J15*Assumptions!$B$9</f>
        <v>0.337852992033135</v>
      </c>
      <c r="L15" s="5" t="n">
        <f aca="false">J15*Assumptions!$B$10</f>
        <v>0.049385876455835</v>
      </c>
      <c r="M15" s="5" t="n">
        <f aca="false">J15*Assumptions!$B$21</f>
        <v>0.15208170094636</v>
      </c>
    </row>
    <row r="16" s="1" customFormat="true" ht="15" hidden="false" customHeight="true" outlineLevel="0" collapsed="false">
      <c r="A16" s="1" t="s">
        <v>130</v>
      </c>
      <c r="B16" s="5" t="n">
        <f aca="false">Table6!L16</f>
        <v>5.54629926375</v>
      </c>
      <c r="C16" s="4" t="n">
        <f aca="false">Corpus!E16</f>
        <v>152.3</v>
      </c>
      <c r="D16" s="4" t="n">
        <f aca="false">Corpus!F16</f>
        <v>22.1</v>
      </c>
      <c r="E16" s="1" t="str">
        <f aca="false">Corpus!Q16</f>
        <v>Medium</v>
      </c>
      <c r="F16" s="5" t="n">
        <f aca="false">IF(Corpus!R16="5x",Assumptions!$B$17,Assumptions!$B$19)</f>
        <v>0.216505</v>
      </c>
      <c r="G16" s="5" t="n">
        <f aca="false">Bootstrap!D16</f>
        <v>0.8995</v>
      </c>
      <c r="H16" s="5" t="n">
        <f aca="false">IF(Corpus!Q16="None",1,Bootstrap!K16)</f>
        <v>0.9849</v>
      </c>
      <c r="I16" s="5" t="n">
        <f aca="false">F16*G16*H16</f>
        <v>0.19180557916275</v>
      </c>
      <c r="J16" s="5" t="n">
        <f aca="false">B16*I16</f>
        <v>1.0638111424935</v>
      </c>
      <c r="K16" s="5" t="n">
        <f aca="false">J16*Assumptions!$B$9</f>
        <v>0.375525333300207</v>
      </c>
      <c r="L16" s="5" t="n">
        <f aca="false">J16*Assumptions!$B$10</f>
        <v>0.0548926549526647</v>
      </c>
      <c r="M16" s="5" t="n">
        <f aca="false">J16*Assumptions!$B$21</f>
        <v>0.169039590542218</v>
      </c>
    </row>
    <row r="17" s="1" customFormat="true" ht="15" hidden="false" customHeight="true" outlineLevel="0" collapsed="false">
      <c r="A17" s="1" t="s">
        <v>131</v>
      </c>
      <c r="B17" s="5" t="n">
        <f aca="false">Table6!L17</f>
        <v>5.9148700359116</v>
      </c>
      <c r="C17" s="4" t="n">
        <f aca="false">Corpus!E17</f>
        <v>155.2</v>
      </c>
      <c r="D17" s="4" t="n">
        <f aca="false">Corpus!F17</f>
        <v>19.5</v>
      </c>
      <c r="E17" s="1" t="str">
        <f aca="false">Corpus!Q17</f>
        <v>High</v>
      </c>
      <c r="F17" s="5" t="n">
        <f aca="false">IF(Corpus!R17="5x",Assumptions!$B$17,Assumptions!$B$19)</f>
        <v>0.216505</v>
      </c>
      <c r="G17" s="5" t="n">
        <f aca="false">Bootstrap!D17</f>
        <v>0.8803</v>
      </c>
      <c r="H17" s="5" t="n">
        <f aca="false">IF(Corpus!Q17="None",1,Bootstrap!K17)</f>
        <v>0.9665</v>
      </c>
      <c r="I17" s="5" t="n">
        <f aca="false">F17*G17*H17</f>
        <v>0.18420460822475</v>
      </c>
      <c r="J17" s="5" t="n">
        <f aca="false">B17*I17</f>
        <v>1.08954631766541</v>
      </c>
      <c r="K17" s="5" t="n">
        <f aca="false">J17*Assumptions!$B$9</f>
        <v>0.38460985013589</v>
      </c>
      <c r="L17" s="5" t="n">
        <f aca="false">J17*Assumptions!$B$10</f>
        <v>0.0562205899915352</v>
      </c>
      <c r="M17" s="5" t="n">
        <f aca="false">J17*Assumptions!$B$21</f>
        <v>0.173128909877034</v>
      </c>
    </row>
    <row r="18" s="1" customFormat="true" ht="15" hidden="false" customHeight="true" outlineLevel="0" collapsed="false">
      <c r="A18" s="1" t="s">
        <v>132</v>
      </c>
      <c r="B18" s="5" t="n">
        <f aca="false">Table6!L18</f>
        <v>11.3322364549459</v>
      </c>
      <c r="C18" s="4" t="n">
        <f aca="false">Corpus!E18</f>
        <v>153.7</v>
      </c>
      <c r="D18" s="4" t="n">
        <f aca="false">Corpus!F18</f>
        <v>19.8</v>
      </c>
      <c r="E18" s="1" t="str">
        <f aca="false">Corpus!Q18</f>
        <v>xHigh</v>
      </c>
      <c r="F18" s="5" t="n">
        <f aca="false">IF(Corpus!R18="5x",Assumptions!$B$17,Assumptions!$B$19)</f>
        <v>0.216505</v>
      </c>
      <c r="G18" s="5" t="n">
        <f aca="false">Bootstrap!D18</f>
        <v>0.8993</v>
      </c>
      <c r="H18" s="5" t="n">
        <f aca="false">IF(Corpus!Q18="None",1,Bootstrap!K18)</f>
        <v>0.9596</v>
      </c>
      <c r="I18" s="5" t="n">
        <f aca="false">F18*G18*H18</f>
        <v>0.1868369474614</v>
      </c>
      <c r="J18" s="5" t="n">
        <f aca="false">B18*I18</f>
        <v>2.11728046715289</v>
      </c>
      <c r="K18" s="5" t="n">
        <f aca="false">J18*Assumptions!$B$9</f>
        <v>0.747400004904971</v>
      </c>
      <c r="L18" s="5" t="n">
        <f aca="false">J18*Assumptions!$B$10</f>
        <v>0.109251672105089</v>
      </c>
      <c r="M18" s="5" t="n">
        <f aca="false">J18*Assumptions!$B$21</f>
        <v>0.336435866230594</v>
      </c>
    </row>
    <row r="19" s="1" customFormat="true" ht="15" hidden="false" customHeight="true" outlineLevel="0" collapsed="false">
      <c r="A19" s="1" t="s">
        <v>133</v>
      </c>
      <c r="B19" s="5" t="n">
        <f aca="false">Table6!L19</f>
        <v>3.251490829379</v>
      </c>
      <c r="C19" s="4" t="n">
        <f aca="false">Corpus!E19</f>
        <v>140.5</v>
      </c>
      <c r="D19" s="4" t="n">
        <f aca="false">Corpus!F19</f>
        <v>18.1</v>
      </c>
      <c r="E19" s="1" t="str">
        <f aca="false">Corpus!Q19</f>
        <v>None</v>
      </c>
      <c r="F19" s="5" t="n">
        <f aca="false">IF(Corpus!R19="5x",Assumptions!$B$17,Assumptions!$B$19)</f>
        <v>0.216505</v>
      </c>
      <c r="G19" s="5" t="n">
        <f aca="false">Bootstrap!D19</f>
        <v>0.8987</v>
      </c>
      <c r="H19" s="5" t="n">
        <f aca="false">IF(Corpus!Q19="None",1,Bootstrap!K19)</f>
        <v>1</v>
      </c>
      <c r="I19" s="5" t="n">
        <f aca="false">F19*G19*H19</f>
        <v>0.1945730435</v>
      </c>
      <c r="J19" s="5" t="n">
        <f aca="false">B19*I19</f>
        <v>0.632652466584611</v>
      </c>
      <c r="K19" s="5" t="n">
        <f aca="false">J19*Assumptions!$B$9</f>
        <v>0.223326320704368</v>
      </c>
      <c r="L19" s="5" t="n">
        <f aca="false">J19*Assumptions!$B$10</f>
        <v>0.0326448672757659</v>
      </c>
      <c r="M19" s="5" t="n">
        <f aca="false">J19*Assumptions!$B$21</f>
        <v>0.100528476940295</v>
      </c>
    </row>
    <row r="20" s="1" customFormat="true" ht="15" hidden="false" customHeight="true" outlineLevel="0" collapsed="false">
      <c r="A20" s="1" t="s">
        <v>135</v>
      </c>
      <c r="B20" s="5" t="n">
        <f aca="false">Table6!L20</f>
        <v>4.91078307386036</v>
      </c>
      <c r="C20" s="4" t="n">
        <f aca="false">Corpus!E20</f>
        <v>137.2</v>
      </c>
      <c r="D20" s="4" t="n">
        <f aca="false">Corpus!F20</f>
        <v>14.3</v>
      </c>
      <c r="E20" s="1" t="str">
        <f aca="false">Corpus!Q20</f>
        <v>Low</v>
      </c>
      <c r="F20" s="5" t="n">
        <f aca="false">IF(Corpus!R20="5x",Assumptions!$B$17,Assumptions!$B$19)</f>
        <v>0.216505</v>
      </c>
      <c r="G20" s="5" t="n">
        <f aca="false">Bootstrap!D20</f>
        <v>0.9022</v>
      </c>
      <c r="H20" s="5" t="n">
        <f aca="false">IF(Corpus!Q20="None",1,Bootstrap!K20)</f>
        <v>0.9799</v>
      </c>
      <c r="I20" s="5" t="n">
        <f aca="false">F20*G20*H20</f>
        <v>0.1914046616989</v>
      </c>
      <c r="J20" s="5" t="n">
        <f aca="false">B20*I20</f>
        <v>0.939946772928926</v>
      </c>
      <c r="K20" s="5" t="n">
        <f aca="false">J20*Assumptions!$B$9</f>
        <v>0.331801210843911</v>
      </c>
      <c r="L20" s="5" t="n">
        <f aca="false">J20*Assumptions!$B$10</f>
        <v>0.0485012534831326</v>
      </c>
      <c r="M20" s="5" t="n">
        <f aca="false">J20*Assumptions!$B$21</f>
        <v>0.149357542218406</v>
      </c>
    </row>
    <row r="21" s="1" customFormat="true" ht="15.75" hidden="false" customHeight="true" outlineLevel="0" collapsed="false">
      <c r="A21" s="1" t="s">
        <v>136</v>
      </c>
      <c r="B21" s="5" t="n">
        <f aca="false">Table6!L21</f>
        <v>5.61455450547536</v>
      </c>
      <c r="C21" s="4" t="n">
        <f aca="false">Corpus!E21</f>
        <v>136.7</v>
      </c>
      <c r="D21" s="4" t="n">
        <f aca="false">Corpus!F21</f>
        <v>15.2</v>
      </c>
      <c r="E21" s="1" t="str">
        <f aca="false">Corpus!Q21</f>
        <v>Medium</v>
      </c>
      <c r="F21" s="5" t="n">
        <f aca="false">IF(Corpus!R21="5x",Assumptions!$B$17,Assumptions!$B$19)</f>
        <v>0.216505</v>
      </c>
      <c r="G21" s="5" t="n">
        <f aca="false">Bootstrap!D21</f>
        <v>0.9003</v>
      </c>
      <c r="H21" s="5" t="n">
        <f aca="false">IF(Corpus!Q21="None",1,Bootstrap!K21)</f>
        <v>0.9877</v>
      </c>
      <c r="I21" s="5" t="n">
        <f aca="false">F21*G21*H21</f>
        <v>0.19252194224655</v>
      </c>
      <c r="J21" s="5" t="n">
        <f aca="false">B21*I21</f>
        <v>1.08092493824323</v>
      </c>
      <c r="K21" s="5" t="n">
        <f aca="false">J21*Assumptions!$B$9</f>
        <v>0.381566503199862</v>
      </c>
      <c r="L21" s="5" t="n">
        <f aca="false">J21*Assumptions!$B$10</f>
        <v>0.0557757268133509</v>
      </c>
      <c r="M21" s="5" t="n">
        <f aca="false">J21*Assumptions!$B$21</f>
        <v>0.17175897268685</v>
      </c>
    </row>
    <row r="22" s="1" customFormat="true" ht="15.75" hidden="false" customHeight="true" outlineLevel="0" collapsed="false">
      <c r="A22" s="1" t="s">
        <v>137</v>
      </c>
      <c r="B22" s="5" t="n">
        <f aca="false">Table6!L22</f>
        <v>9.65776996465675</v>
      </c>
      <c r="C22" s="4" t="n">
        <f aca="false">Corpus!E22</f>
        <v>140.4</v>
      </c>
      <c r="D22" s="4" t="n">
        <f aca="false">Corpus!F22</f>
        <v>13.5</v>
      </c>
      <c r="E22" s="1" t="str">
        <f aca="false">Corpus!Q22</f>
        <v>High</v>
      </c>
      <c r="F22" s="5" t="n">
        <f aca="false">IF(Corpus!R22="5x",Assumptions!$B$17,Assumptions!$B$19)</f>
        <v>0.216505</v>
      </c>
      <c r="G22" s="5" t="n">
        <f aca="false">Bootstrap!D22</f>
        <v>0.8994</v>
      </c>
      <c r="H22" s="5" t="n">
        <f aca="false">IF(Corpus!Q22="None",1,Bootstrap!K22)</f>
        <v>0.9627</v>
      </c>
      <c r="I22" s="5" t="n">
        <f aca="false">F22*G22*H22</f>
        <v>0.1874613695319</v>
      </c>
      <c r="J22" s="5" t="n">
        <f aca="false">B22*I22</f>
        <v>1.8104587841986</v>
      </c>
      <c r="K22" s="5" t="n">
        <f aca="false">J22*Assumptions!$B$9</f>
        <v>0.639091950822107</v>
      </c>
      <c r="L22" s="5" t="n">
        <f aca="false">J22*Assumptions!$B$10</f>
        <v>0.0934196732646479</v>
      </c>
      <c r="M22" s="5" t="n">
        <f aca="false">J22*Assumptions!$B$21</f>
        <v>0.287681900809158</v>
      </c>
    </row>
    <row r="23" s="1" customFormat="true" ht="15.75" hidden="false" customHeight="true" outlineLevel="0" collapsed="false">
      <c r="A23" s="1" t="s">
        <v>138</v>
      </c>
      <c r="B23" s="5" t="n">
        <f aca="false">Table6!L23</f>
        <v>40.5080465491494</v>
      </c>
      <c r="C23" s="4" t="n">
        <f aca="false">Corpus!E23</f>
        <v>139.2</v>
      </c>
      <c r="D23" s="4" t="n">
        <f aca="false">Corpus!F23</f>
        <v>24.5</v>
      </c>
      <c r="E23" s="1" t="str">
        <f aca="false">Corpus!Q23</f>
        <v>xHigh</v>
      </c>
      <c r="F23" s="5" t="n">
        <f aca="false">IF(Corpus!R23="5x",Assumptions!$B$17,Assumptions!$B$19)</f>
        <v>0.216505</v>
      </c>
      <c r="G23" s="5" t="n">
        <f aca="false">Bootstrap!D23</f>
        <v>0.8561</v>
      </c>
      <c r="H23" s="5" t="n">
        <f aca="false">IF(Corpus!Q23="None",1,Bootstrap!K23)</f>
        <v>0.7802</v>
      </c>
      <c r="I23" s="5" t="n">
        <f aca="false">F23*G23*H23</f>
        <v>0.1446100157761</v>
      </c>
      <c r="J23" s="5" t="n">
        <f aca="false">B23*I23</f>
        <v>5.85786925053149</v>
      </c>
      <c r="K23" s="5" t="n">
        <f aca="false">J23*Assumptions!$B$9</f>
        <v>2.06782784543762</v>
      </c>
      <c r="L23" s="5" t="n">
        <f aca="false">J23*Assumptions!$B$10</f>
        <v>0.302266053327425</v>
      </c>
      <c r="M23" s="5" t="n">
        <f aca="false">J23*Assumptions!$B$21</f>
        <v>0.930815423909454</v>
      </c>
    </row>
    <row r="24" s="1" customFormat="true" ht="15.75" hidden="false" customHeight="true" outlineLevel="0" collapsed="false">
      <c r="A24" s="1" t="s">
        <v>139</v>
      </c>
      <c r="B24" s="5" t="n">
        <f aca="false">Table6!L24</f>
        <v>5.50150432278334</v>
      </c>
      <c r="C24" s="4" t="n">
        <f aca="false">Corpus!E24</f>
        <v>86</v>
      </c>
      <c r="D24" s="4" t="n">
        <f aca="false">Corpus!F24</f>
        <v>12.7</v>
      </c>
      <c r="E24" s="1" t="str">
        <f aca="false">Corpus!Q24</f>
        <v>None</v>
      </c>
      <c r="F24" s="5" t="n">
        <f aca="false">IF(Corpus!R24="5x",Assumptions!$B$17,Assumptions!$B$19)</f>
        <v>0.216505</v>
      </c>
      <c r="G24" s="5" t="n">
        <f aca="false">Bootstrap!D24</f>
        <v>0.8933</v>
      </c>
      <c r="H24" s="5" t="n">
        <f aca="false">IF(Corpus!Q24="None",1,Bootstrap!K24)</f>
        <v>1</v>
      </c>
      <c r="I24" s="5" t="n">
        <f aca="false">F24*G24*H24</f>
        <v>0.1934039165</v>
      </c>
      <c r="J24" s="5" t="n">
        <f aca="false">B24*I24</f>
        <v>1.06401248266798</v>
      </c>
      <c r="K24" s="5" t="n">
        <f aca="false">J24*Assumptions!$B$9</f>
        <v>0.375596406381796</v>
      </c>
      <c r="L24" s="5" t="n">
        <f aca="false">J24*Assumptions!$B$10</f>
        <v>0.0549030441056676</v>
      </c>
      <c r="M24" s="5" t="n">
        <f aca="false">J24*Assumptions!$B$21</f>
        <v>0.169071583495942</v>
      </c>
    </row>
    <row r="25" s="1" customFormat="true" ht="15.75" hidden="false" customHeight="true" outlineLevel="0" collapsed="false">
      <c r="A25" s="1" t="s">
        <v>141</v>
      </c>
      <c r="B25" s="5" t="n">
        <f aca="false">Table6!L25</f>
        <v>6.96431020212766</v>
      </c>
      <c r="C25" s="4" t="n">
        <f aca="false">Corpus!E25</f>
        <v>92.1</v>
      </c>
      <c r="D25" s="4" t="n">
        <f aca="false">Corpus!F25</f>
        <v>16.3</v>
      </c>
      <c r="E25" s="1" t="str">
        <f aca="false">Corpus!Q25</f>
        <v>Low</v>
      </c>
      <c r="F25" s="5" t="n">
        <f aca="false">IF(Corpus!R25="5x",Assumptions!$B$17,Assumptions!$B$19)</f>
        <v>0.216505</v>
      </c>
      <c r="G25" s="5" t="n">
        <f aca="false">Bootstrap!D25</f>
        <v>0.8956</v>
      </c>
      <c r="H25" s="5" t="n">
        <f aca="false">IF(Corpus!Q25="None",1,Bootstrap!K25)</f>
        <v>0.9913</v>
      </c>
      <c r="I25" s="5" t="n">
        <f aca="false">F25*G25*H25</f>
        <v>0.1922149316614</v>
      </c>
      <c r="J25" s="5" t="n">
        <f aca="false">B25*I25</f>
        <v>1.33864440957076</v>
      </c>
      <c r="K25" s="5" t="n">
        <f aca="false">J25*Assumptions!$B$9</f>
        <v>0.472541476578478</v>
      </c>
      <c r="L25" s="5" t="n">
        <f aca="false">J25*Assumptions!$B$10</f>
        <v>0.0690740515338512</v>
      </c>
      <c r="M25" s="5" t="n">
        <f aca="false">J25*Assumptions!$B$21</f>
        <v>0.212710596680794</v>
      </c>
    </row>
    <row r="26" s="1" customFormat="true" ht="15.75" hidden="false" customHeight="true" outlineLevel="0" collapsed="false">
      <c r="A26" s="1" t="s">
        <v>142</v>
      </c>
      <c r="B26" s="5" t="n">
        <f aca="false">Table6!L26</f>
        <v>8.7787665</v>
      </c>
      <c r="C26" s="4" t="n">
        <f aca="false">Corpus!E26</f>
        <v>93</v>
      </c>
      <c r="D26" s="4" t="n">
        <f aca="false">Corpus!F26</f>
        <v>10.7</v>
      </c>
      <c r="E26" s="1" t="str">
        <f aca="false">Corpus!Q26</f>
        <v>Medium</v>
      </c>
      <c r="F26" s="5" t="n">
        <f aca="false">IF(Corpus!R26="5x",Assumptions!$B$17,Assumptions!$B$19)</f>
        <v>0.216505</v>
      </c>
      <c r="G26" s="5" t="n">
        <f aca="false">Bootstrap!D26</f>
        <v>0.8776</v>
      </c>
      <c r="H26" s="5" t="n">
        <f aca="false">IF(Corpus!Q26="None",1,Bootstrap!K26)</f>
        <v>0.9733</v>
      </c>
      <c r="I26" s="5" t="n">
        <f aca="false">F26*G26*H26</f>
        <v>0.1849316601604</v>
      </c>
      <c r="J26" s="5" t="n">
        <f aca="false">B26*I26</f>
        <v>1.6234718630055</v>
      </c>
      <c r="K26" s="5" t="n">
        <f aca="false">J26*Assumptions!$B$9</f>
        <v>0.573085567640943</v>
      </c>
      <c r="L26" s="5" t="n">
        <f aca="false">J26*Assumptions!$B$10</f>
        <v>0.083771148131084</v>
      </c>
      <c r="M26" s="5" t="n">
        <f aca="false">J26*Assumptions!$B$21</f>
        <v>0.257969679031575</v>
      </c>
    </row>
    <row r="27" s="1" customFormat="true" ht="15.75" hidden="false" customHeight="true" outlineLevel="0" collapsed="false">
      <c r="A27" s="1" t="s">
        <v>143</v>
      </c>
      <c r="B27" s="5" t="n">
        <f aca="false">Table6!L27</f>
        <v>11.2974738709677</v>
      </c>
      <c r="C27" s="4" t="n">
        <f aca="false">Corpus!E27</f>
        <v>93.4</v>
      </c>
      <c r="D27" s="4" t="n">
        <f aca="false">Corpus!F27</f>
        <v>11.3</v>
      </c>
      <c r="E27" s="1" t="str">
        <f aca="false">Corpus!Q27</f>
        <v>High</v>
      </c>
      <c r="F27" s="5" t="n">
        <f aca="false">IF(Corpus!R27="5x",Assumptions!$B$17,Assumptions!$B$19)</f>
        <v>0.216505</v>
      </c>
      <c r="G27" s="5" t="n">
        <f aca="false">Bootstrap!D27</f>
        <v>0.8899</v>
      </c>
      <c r="H27" s="5" t="n">
        <f aca="false">IF(Corpus!Q27="None",1,Bootstrap!K27)</f>
        <v>0.9705</v>
      </c>
      <c r="I27" s="5" t="n">
        <f aca="false">F27*G27*H27</f>
        <v>0.18698409941475</v>
      </c>
      <c r="J27" s="5" t="n">
        <f aca="false">B27*I27</f>
        <v>2.11244797742457</v>
      </c>
      <c r="K27" s="5" t="n">
        <f aca="false">J27*Assumptions!$B$9</f>
        <v>0.745694136030874</v>
      </c>
      <c r="L27" s="5" t="n">
        <f aca="false">J27*Assumptions!$B$10</f>
        <v>0.109002315635108</v>
      </c>
      <c r="M27" s="5" t="n">
        <f aca="false">J27*Assumptions!$B$21</f>
        <v>0.335667983612765</v>
      </c>
    </row>
    <row r="28" s="1" customFormat="true" ht="15.75" hidden="false" customHeight="true" outlineLevel="0" collapsed="false">
      <c r="A28" s="1" t="s">
        <v>144</v>
      </c>
      <c r="B28" s="5" t="n">
        <f aca="false">Table6!L28</f>
        <v>19.327335067623</v>
      </c>
      <c r="C28" s="4" t="n">
        <f aca="false">Corpus!E28</f>
        <v>95.6</v>
      </c>
      <c r="D28" s="4" t="n">
        <f aca="false">Corpus!F28</f>
        <v>10.1</v>
      </c>
      <c r="E28" s="1" t="str">
        <f aca="false">Corpus!Q28</f>
        <v>xHigh</v>
      </c>
      <c r="F28" s="5" t="n">
        <f aca="false">IF(Corpus!R28="5x",Assumptions!$B$17,Assumptions!$B$19)</f>
        <v>0.216505</v>
      </c>
      <c r="G28" s="5" t="n">
        <f aca="false">Bootstrap!D28</f>
        <v>0.9036</v>
      </c>
      <c r="H28" s="5" t="n">
        <f aca="false">IF(Corpus!Q28="None",1,Bootstrap!K28)</f>
        <v>0.9461</v>
      </c>
      <c r="I28" s="5" t="n">
        <f aca="false">F28*G28*H28</f>
        <v>0.1850892498198</v>
      </c>
      <c r="J28" s="5" t="n">
        <f aca="false">B28*I28</f>
        <v>3.57728194868225</v>
      </c>
      <c r="K28" s="5" t="n">
        <f aca="false">J28*Assumptions!$B$9</f>
        <v>1.26278052788483</v>
      </c>
      <c r="L28" s="5" t="n">
        <f aca="false">J28*Assumptions!$B$10</f>
        <v>0.184587748552004</v>
      </c>
      <c r="M28" s="5" t="n">
        <f aca="false">J28*Assumptions!$B$21</f>
        <v>0.568430101645609</v>
      </c>
    </row>
    <row r="29" s="1" customFormat="true" ht="15.75" hidden="false" customHeight="true" outlineLevel="0" collapsed="false">
      <c r="A29" s="1" t="s">
        <v>145</v>
      </c>
      <c r="B29" s="5" t="n">
        <f aca="false">Table6!L29</f>
        <v>13.5017830889279</v>
      </c>
      <c r="C29" s="4" t="n">
        <f aca="false">Corpus!E29</f>
        <v>60.9</v>
      </c>
      <c r="D29" s="4" t="n">
        <f aca="false">Corpus!F29</f>
        <v>9.2</v>
      </c>
      <c r="E29" s="1" t="str">
        <f aca="false">Corpus!Q29</f>
        <v>Minimal (measured)</v>
      </c>
      <c r="F29" s="5" t="n">
        <f aca="false">IF(Corpus!R29="5x",Assumptions!$B$17,Assumptions!$B$19)</f>
        <v>0.216505</v>
      </c>
      <c r="G29" s="5" t="n">
        <f aca="false">Bootstrap!D29</f>
        <v>0.8903</v>
      </c>
      <c r="H29" s="5" t="n">
        <f aca="false">IF(Corpus!Q29="None",1,Bootstrap!K29)</f>
        <v>0.9514</v>
      </c>
      <c r="I29" s="5" t="n">
        <f aca="false">F29*G29*H29</f>
        <v>0.1833865375871</v>
      </c>
      <c r="J29" s="5" t="n">
        <f aca="false">B29*I29</f>
        <v>2.47604525193054</v>
      </c>
      <c r="K29" s="5" t="n">
        <f aca="false">J29*Assumptions!$B$9</f>
        <v>0.874043973931481</v>
      </c>
      <c r="L29" s="5" t="n">
        <f aca="false">J29*Assumptions!$B$10</f>
        <v>0.127763934999616</v>
      </c>
      <c r="M29" s="5" t="n">
        <f aca="false">J29*Assumptions!$B$21</f>
        <v>0.393443590531763</v>
      </c>
    </row>
    <row r="30" s="1" customFormat="true" ht="15.75" hidden="false" customHeight="true" outlineLevel="0" collapsed="false">
      <c r="A30" s="1" t="s">
        <v>147</v>
      </c>
      <c r="B30" s="5" t="n">
        <f aca="false">Table6!L30</f>
        <v>11.1690934860704</v>
      </c>
      <c r="C30" s="4" t="n">
        <f aca="false">Corpus!E30</f>
        <v>61.2</v>
      </c>
      <c r="D30" s="4" t="n">
        <f aca="false">Corpus!F30</f>
        <v>8.6</v>
      </c>
      <c r="E30" s="1" t="str">
        <f aca="false">Corpus!Q30</f>
        <v>Low</v>
      </c>
      <c r="F30" s="5" t="n">
        <f aca="false">IF(Corpus!R30="5x",Assumptions!$B$17,Assumptions!$B$19)</f>
        <v>0.216505</v>
      </c>
      <c r="G30" s="5" t="n">
        <f aca="false">Bootstrap!D30</f>
        <v>0.8957</v>
      </c>
      <c r="H30" s="5" t="n">
        <f aca="false">IF(Corpus!Q30="None",1,Bootstrap!K30)</f>
        <v>0.9768</v>
      </c>
      <c r="I30" s="5" t="n">
        <f aca="false">F30*G30*H30</f>
        <v>0.1894245026388</v>
      </c>
      <c r="J30" s="5" t="n">
        <f aca="false">B30*I30</f>
        <v>2.11569997852514</v>
      </c>
      <c r="K30" s="5" t="n">
        <f aca="false">J30*Assumptions!$B$9</f>
        <v>0.746842092419375</v>
      </c>
      <c r="L30" s="5" t="n">
        <f aca="false">J30*Assumptions!$B$10</f>
        <v>0.109170118891897</v>
      </c>
      <c r="M30" s="5" t="n">
        <f aca="false">J30*Assumptions!$B$21</f>
        <v>0.336184726587645</v>
      </c>
    </row>
    <row r="31" s="1" customFormat="true" ht="15.75" hidden="false" customHeight="true" outlineLevel="0" collapsed="false">
      <c r="A31" s="1" t="s">
        <v>148</v>
      </c>
      <c r="B31" s="5" t="n">
        <f aca="false">Table6!L31</f>
        <v>13.122528916653</v>
      </c>
      <c r="C31" s="4" t="n">
        <f aca="false">Corpus!E31</f>
        <v>61.4</v>
      </c>
      <c r="D31" s="4" t="n">
        <f aca="false">Corpus!F31</f>
        <v>9.1</v>
      </c>
      <c r="E31" s="1" t="str">
        <f aca="false">Corpus!Q31</f>
        <v>Medium</v>
      </c>
      <c r="F31" s="5" t="n">
        <f aca="false">IF(Corpus!R31="5x",Assumptions!$B$17,Assumptions!$B$19)</f>
        <v>0.216505</v>
      </c>
      <c r="G31" s="5" t="n">
        <f aca="false">Bootstrap!D31</f>
        <v>0.8834</v>
      </c>
      <c r="H31" s="5" t="n">
        <f aca="false">IF(Corpus!Q31="None",1,Bootstrap!K31)</f>
        <v>0.9722</v>
      </c>
      <c r="I31" s="5" t="n">
        <f aca="false">F31*G31*H31</f>
        <v>0.1859434746274</v>
      </c>
      <c r="J31" s="5" t="n">
        <f aca="false">B31*I31</f>
        <v>2.44004862266099</v>
      </c>
      <c r="K31" s="5" t="n">
        <f aca="false">J31*Assumptions!$B$9</f>
        <v>0.861337163799328</v>
      </c>
      <c r="L31" s="5" t="n">
        <f aca="false">J31*Assumptions!$B$10</f>
        <v>0.125906508929307</v>
      </c>
      <c r="M31" s="5" t="n">
        <f aca="false">J31*Assumptions!$B$21</f>
        <v>0.387723726140831</v>
      </c>
    </row>
    <row r="32" s="1" customFormat="true" ht="15.75" hidden="false" customHeight="true" outlineLevel="0" collapsed="false">
      <c r="A32" s="1" t="s">
        <v>149</v>
      </c>
      <c r="B32" s="5" t="n">
        <f aca="false">Table6!L32</f>
        <v>18.6190522785467</v>
      </c>
      <c r="C32" s="4" t="n">
        <f aca="false">Corpus!E32</f>
        <v>61.5</v>
      </c>
      <c r="D32" s="4" t="n">
        <f aca="false">Corpus!F32</f>
        <v>9</v>
      </c>
      <c r="E32" s="1" t="str">
        <f aca="false">Corpus!Q32</f>
        <v>High</v>
      </c>
      <c r="F32" s="5" t="n">
        <f aca="false">IF(Corpus!R32="5x",Assumptions!$B$17,Assumptions!$B$19)</f>
        <v>0.216505</v>
      </c>
      <c r="G32" s="5" t="n">
        <f aca="false">Bootstrap!D32</f>
        <v>0.8901</v>
      </c>
      <c r="H32" s="5" t="n">
        <f aca="false">IF(Corpus!Q32="None",1,Bootstrap!K32)</f>
        <v>0.9751</v>
      </c>
      <c r="I32" s="5" t="n">
        <f aca="false">F32*G32*H32</f>
        <v>0.18791259409755</v>
      </c>
      <c r="J32" s="5" t="n">
        <f aca="false">B32*I32</f>
        <v>3.49875441329961</v>
      </c>
      <c r="K32" s="5" t="n">
        <f aca="false">J32*Assumptions!$B$9</f>
        <v>1.23506030789476</v>
      </c>
      <c r="L32" s="5" t="n">
        <f aca="false">J32*Assumptions!$B$10</f>
        <v>0.18053572772626</v>
      </c>
      <c r="M32" s="5" t="n">
        <f aca="false">J32*Assumptions!$B$21</f>
        <v>0.555952076273308</v>
      </c>
    </row>
    <row r="33" s="1" customFormat="true" ht="15.75" hidden="false" customHeight="true" outlineLevel="0" collapsed="false">
      <c r="A33" s="1" t="s">
        <v>150</v>
      </c>
      <c r="B33" s="5" t="n">
        <f aca="false">Table6!L33</f>
        <v>19.4138913785679</v>
      </c>
      <c r="C33" s="4" t="n">
        <f aca="false">Corpus!E33</f>
        <v>61.4</v>
      </c>
      <c r="D33" s="4" t="n">
        <f aca="false">Corpus!F33</f>
        <v>9.9</v>
      </c>
      <c r="E33" s="1" t="str">
        <f aca="false">Corpus!Q33</f>
        <v>xHigh</v>
      </c>
      <c r="F33" s="5" t="n">
        <f aca="false">IF(Corpus!R33="5x",Assumptions!$B$17,Assumptions!$B$19)</f>
        <v>0.216505</v>
      </c>
      <c r="G33" s="5" t="n">
        <f aca="false">Bootstrap!D33</f>
        <v>0.892</v>
      </c>
      <c r="H33" s="5" t="n">
        <f aca="false">IF(Corpus!Q33="None",1,Bootstrap!K33)</f>
        <v>0.9676</v>
      </c>
      <c r="I33" s="5" t="n">
        <f aca="false">F33*G33*H33</f>
        <v>0.186865292296</v>
      </c>
      <c r="J33" s="5" t="n">
        <f aca="false">B33*I33</f>
        <v>3.62778248705888</v>
      </c>
      <c r="K33" s="5" t="n">
        <f aca="false">J33*Assumptions!$B$9</f>
        <v>1.28060721793178</v>
      </c>
      <c r="L33" s="5" t="n">
        <f aca="false">J33*Assumptions!$B$10</f>
        <v>0.187193576332238</v>
      </c>
      <c r="M33" s="5" t="n">
        <f aca="false">J33*Assumptions!$B$21</f>
        <v>0.576454637193656</v>
      </c>
    </row>
    <row r="34" s="1" customFormat="true" ht="15.75" hidden="false" customHeight="true" outlineLevel="0" collapsed="false">
      <c r="A34" s="1" t="s">
        <v>151</v>
      </c>
      <c r="B34" s="5" t="n">
        <f aca="false">Table6!L34</f>
        <v>5.82354773210162</v>
      </c>
      <c r="C34" s="4" t="n">
        <f aca="false">Corpus!E34</f>
        <v>127.8</v>
      </c>
      <c r="D34" s="4" t="n">
        <f aca="false">Corpus!F34</f>
        <v>19.9</v>
      </c>
      <c r="E34" s="1" t="str">
        <f aca="false">Corpus!Q34</f>
        <v>Minimal (measured)</v>
      </c>
      <c r="F34" s="5" t="n">
        <f aca="false">IF(Corpus!R34="5x",Assumptions!$B$17,Assumptions!$B$19)</f>
        <v>0.216505</v>
      </c>
      <c r="G34" s="5" t="n">
        <f aca="false">Bootstrap!D34</f>
        <v>0.8815</v>
      </c>
      <c r="H34" s="5" t="n">
        <f aca="false">IF(Corpus!Q34="None",1,Bootstrap!K34)</f>
        <v>0.986</v>
      </c>
      <c r="I34" s="5" t="n">
        <f aca="false">F34*G34*H34</f>
        <v>0.188177269295</v>
      </c>
      <c r="J34" s="5" t="n">
        <f aca="false">B34*I34</f>
        <v>1.09585930983597</v>
      </c>
      <c r="K34" s="5" t="n">
        <f aca="false">J34*Assumptions!$B$9</f>
        <v>0.386838336372098</v>
      </c>
      <c r="L34" s="5" t="n">
        <f aca="false">J34*Assumptions!$B$10</f>
        <v>0.0565463403875362</v>
      </c>
      <c r="M34" s="5" t="n">
        <f aca="false">J34*Assumptions!$B$21</f>
        <v>0.174132044332936</v>
      </c>
    </row>
    <row r="35" s="1" customFormat="true" ht="15.75" hidden="false" customHeight="true" outlineLevel="0" collapsed="false">
      <c r="A35" s="1" t="s">
        <v>152</v>
      </c>
      <c r="B35" s="5" t="n">
        <f aca="false">Table6!L35</f>
        <v>5.12781928361775</v>
      </c>
      <c r="C35" s="4" t="n">
        <f aca="false">Corpus!E35</f>
        <v>130</v>
      </c>
      <c r="D35" s="4" t="n">
        <f aca="false">Corpus!F35</f>
        <v>21.1</v>
      </c>
      <c r="E35" s="1" t="str">
        <f aca="false">Corpus!Q35</f>
        <v>Low</v>
      </c>
      <c r="F35" s="5" t="n">
        <f aca="false">IF(Corpus!R35="5x",Assumptions!$B$17,Assumptions!$B$19)</f>
        <v>0.216505</v>
      </c>
      <c r="G35" s="5" t="n">
        <f aca="false">Bootstrap!D35</f>
        <v>0.8847</v>
      </c>
      <c r="H35" s="5" t="n">
        <f aca="false">IF(Corpus!Q35="None",1,Bootstrap!K35)</f>
        <v>0.9947</v>
      </c>
      <c r="I35" s="5" t="n">
        <f aca="false">F35*G35*H35</f>
        <v>0.19052680104045</v>
      </c>
      <c r="J35" s="5" t="n">
        <f aca="false">B35*I35</f>
        <v>0.976987004421222</v>
      </c>
      <c r="K35" s="5" t="n">
        <f aca="false">J35*Assumptions!$B$9</f>
        <v>0.344876412560691</v>
      </c>
      <c r="L35" s="5" t="n">
        <f aca="false">J35*Assumptions!$B$10</f>
        <v>0.050412529428135</v>
      </c>
      <c r="M35" s="5" t="n">
        <f aca="false">J35*Assumptions!$B$21</f>
        <v>0.155243235002532</v>
      </c>
    </row>
    <row r="36" s="1" customFormat="true" ht="15.75" hidden="false" customHeight="true" outlineLevel="0" collapsed="false">
      <c r="A36" s="1" t="s">
        <v>153</v>
      </c>
      <c r="B36" s="5" t="n">
        <f aca="false">Table6!L36</f>
        <v>5.53719416477652</v>
      </c>
      <c r="C36" s="4" t="n">
        <f aca="false">Corpus!E36</f>
        <v>135.1</v>
      </c>
      <c r="D36" s="4" t="n">
        <f aca="false">Corpus!F36</f>
        <v>29.1</v>
      </c>
      <c r="E36" s="1" t="str">
        <f aca="false">Corpus!Q36</f>
        <v>Medium</v>
      </c>
      <c r="F36" s="5" t="n">
        <f aca="false">IF(Corpus!R36="5x",Assumptions!$B$17,Assumptions!$B$19)</f>
        <v>0.216505</v>
      </c>
      <c r="G36" s="5" t="n">
        <f aca="false">Bootstrap!D36</f>
        <v>0.8771</v>
      </c>
      <c r="H36" s="5" t="n">
        <f aca="false">IF(Corpus!Q36="None",1,Bootstrap!K36)</f>
        <v>0.9907</v>
      </c>
      <c r="I36" s="5" t="n">
        <f aca="false">F36*G36*H36</f>
        <v>0.18813049771985</v>
      </c>
      <c r="J36" s="5" t="n">
        <f aca="false">B36*I36</f>
        <v>1.04171509419086</v>
      </c>
      <c r="K36" s="5" t="n">
        <f aca="false">J36*Assumptions!$B$9</f>
        <v>0.367725428249372</v>
      </c>
      <c r="L36" s="5" t="n">
        <f aca="false">J36*Assumptions!$B$10</f>
        <v>0.0537524988602481</v>
      </c>
      <c r="M36" s="5" t="n">
        <f aca="false">J36*Assumptions!$B$21</f>
        <v>0.165528528466927</v>
      </c>
    </row>
    <row r="37" s="1" customFormat="true" ht="15.75" hidden="false" customHeight="true" outlineLevel="0" collapsed="false">
      <c r="A37" s="1" t="s">
        <v>154</v>
      </c>
      <c r="B37" s="5" t="n">
        <f aca="false">Table6!L37</f>
        <v>7.45852231933594</v>
      </c>
      <c r="C37" s="4" t="n">
        <f aca="false">Corpus!E37</f>
        <v>131.4</v>
      </c>
      <c r="D37" s="4" t="n">
        <f aca="false">Corpus!F37</f>
        <v>17.8</v>
      </c>
      <c r="E37" s="1" t="str">
        <f aca="false">Corpus!Q37</f>
        <v>High</v>
      </c>
      <c r="F37" s="5" t="n">
        <f aca="false">IF(Corpus!R37="5x",Assumptions!$B$17,Assumptions!$B$19)</f>
        <v>0.216505</v>
      </c>
      <c r="G37" s="5" t="n">
        <f aca="false">Bootstrap!D37</f>
        <v>0.894</v>
      </c>
      <c r="H37" s="5" t="n">
        <f aca="false">IF(Corpus!Q37="None",1,Bootstrap!K37)</f>
        <v>0.9613</v>
      </c>
      <c r="I37" s="5" t="n">
        <f aca="false">F37*G37*H37</f>
        <v>0.186064873311</v>
      </c>
      <c r="J37" s="5" t="n">
        <f aca="false">B37*I37</f>
        <v>1.38776901043451</v>
      </c>
      <c r="K37" s="5" t="n">
        <f aca="false">J37*Assumptions!$B$9</f>
        <v>0.489882460683381</v>
      </c>
      <c r="L37" s="5" t="n">
        <f aca="false">J37*Assumptions!$B$10</f>
        <v>0.0716088809384206</v>
      </c>
      <c r="M37" s="5" t="n">
        <f aca="false">J37*Assumptions!$B$21</f>
        <v>0.220516495758043</v>
      </c>
    </row>
    <row r="38" s="1" customFormat="true" ht="15.75" hidden="false" customHeight="true" outlineLevel="0" collapsed="false">
      <c r="A38" s="1" t="s">
        <v>155</v>
      </c>
      <c r="B38" s="5" t="n">
        <f aca="false">Table6!L38</f>
        <v>9.36883368870968</v>
      </c>
      <c r="C38" s="4" t="n">
        <f aca="false">Corpus!E38</f>
        <v>130.1</v>
      </c>
      <c r="D38" s="4" t="n">
        <f aca="false">Corpus!F38</f>
        <v>20.3</v>
      </c>
      <c r="E38" s="1" t="str">
        <f aca="false">Corpus!Q38</f>
        <v>xHigh</v>
      </c>
      <c r="F38" s="5" t="n">
        <f aca="false">IF(Corpus!R38="5x",Assumptions!$B$17,Assumptions!$B$19)</f>
        <v>0.216505</v>
      </c>
      <c r="G38" s="5" t="n">
        <f aca="false">Bootstrap!D38</f>
        <v>0.9007</v>
      </c>
      <c r="H38" s="5" t="n">
        <f aca="false">IF(Corpus!Q38="None",1,Bootstrap!K38)</f>
        <v>0.9655</v>
      </c>
      <c r="I38" s="5" t="n">
        <f aca="false">F38*G38*H38</f>
        <v>0.18827834465425</v>
      </c>
      <c r="J38" s="5" t="n">
        <f aca="false">B38*I38</f>
        <v>1.76394849825123</v>
      </c>
      <c r="K38" s="5" t="n">
        <f aca="false">J38*Assumptions!$B$9</f>
        <v>0.622673819882684</v>
      </c>
      <c r="L38" s="5" t="n">
        <f aca="false">J38*Assumptions!$B$10</f>
        <v>0.0910197425097634</v>
      </c>
      <c r="M38" s="5" t="n">
        <f aca="false">J38*Assumptions!$B$21</f>
        <v>0.28029141637212</v>
      </c>
    </row>
    <row r="39" s="1" customFormat="true" ht="15.75" hidden="false" customHeight="true" outlineLevel="0" collapsed="false">
      <c r="A39" s="1" t="s">
        <v>156</v>
      </c>
      <c r="B39" s="5" t="n">
        <f aca="false">Table6!L39</f>
        <v>12.8677181130221</v>
      </c>
      <c r="C39" s="4" t="n">
        <f aca="false">Corpus!E39</f>
        <v>53.9</v>
      </c>
      <c r="D39" s="4" t="n">
        <f aca="false">Corpus!F39</f>
        <v>6.4</v>
      </c>
      <c r="E39" s="1" t="str">
        <f aca="false">Corpus!Q39</f>
        <v>Minimal (measured)</v>
      </c>
      <c r="F39" s="5" t="n">
        <f aca="false">IF(Corpus!R39="5x",Assumptions!$B$17,Assumptions!$B$19)</f>
        <v>0.216505</v>
      </c>
      <c r="G39" s="5" t="n">
        <f aca="false">Bootstrap!D39</f>
        <v>0.8934</v>
      </c>
      <c r="H39" s="5" t="n">
        <f aca="false">IF(Corpus!Q39="None",1,Bootstrap!K39)</f>
        <v>0.9813</v>
      </c>
      <c r="I39" s="5" t="n">
        <f aca="false">F39*G39*H39</f>
        <v>0.1898085088971</v>
      </c>
      <c r="J39" s="5" t="n">
        <f aca="false">B39*I39</f>
        <v>2.44240238794093</v>
      </c>
      <c r="K39" s="5" t="n">
        <f aca="false">J39*Assumptions!$B$9</f>
        <v>0.862168042943149</v>
      </c>
      <c r="L39" s="5" t="n">
        <f aca="false">J39*Assumptions!$B$10</f>
        <v>0.126027963217752</v>
      </c>
      <c r="M39" s="5" t="n">
        <f aca="false">J39*Assumptions!$B$21</f>
        <v>0.388097739443814</v>
      </c>
    </row>
    <row r="40" s="1" customFormat="true" ht="15.75" hidden="false" customHeight="true" outlineLevel="0" collapsed="false">
      <c r="A40" s="1" t="s">
        <v>157</v>
      </c>
      <c r="B40" s="5" t="n">
        <f aca="false">Table6!L40</f>
        <v>12.0031178428225</v>
      </c>
      <c r="C40" s="4" t="n">
        <f aca="false">Corpus!E40</f>
        <v>53.2</v>
      </c>
      <c r="D40" s="4" t="n">
        <f aca="false">Corpus!F40</f>
        <v>8.2</v>
      </c>
      <c r="E40" s="1" t="str">
        <f aca="false">Corpus!Q40</f>
        <v>Low</v>
      </c>
      <c r="F40" s="5" t="n">
        <f aca="false">IF(Corpus!R40="5x",Assumptions!$B$17,Assumptions!$B$19)</f>
        <v>0.216505</v>
      </c>
      <c r="G40" s="5" t="n">
        <f aca="false">Bootstrap!D40</f>
        <v>0.8934</v>
      </c>
      <c r="H40" s="5" t="n">
        <f aca="false">IF(Corpus!Q40="None",1,Bootstrap!K40)</f>
        <v>0.9875</v>
      </c>
      <c r="I40" s="5" t="n">
        <f aca="false">F40*G40*H40</f>
        <v>0.1910077474125</v>
      </c>
      <c r="J40" s="5" t="n">
        <f aca="false">B40*I40</f>
        <v>2.29268850108431</v>
      </c>
      <c r="K40" s="5" t="n">
        <f aca="false">J40*Assumptions!$B$9</f>
        <v>0.809319040882761</v>
      </c>
      <c r="L40" s="5" t="n">
        <f aca="false">J40*Assumptions!$B$10</f>
        <v>0.11830272665595</v>
      </c>
      <c r="M40" s="5" t="n">
        <f aca="false">J40*Assumptions!$B$21</f>
        <v>0.364308202822297</v>
      </c>
    </row>
    <row r="41" s="1" customFormat="true" ht="15.75" hidden="false" customHeight="true" outlineLevel="0" collapsed="false">
      <c r="A41" s="1" t="s">
        <v>158</v>
      </c>
      <c r="B41" s="5" t="n">
        <f aca="false">Table6!L41</f>
        <v>12.9570272894295</v>
      </c>
      <c r="C41" s="4" t="n">
        <f aca="false">Corpus!E41</f>
        <v>54.4</v>
      </c>
      <c r="D41" s="4" t="n">
        <f aca="false">Corpus!F41</f>
        <v>6.5</v>
      </c>
      <c r="E41" s="1" t="str">
        <f aca="false">Corpus!Q41</f>
        <v>Medium</v>
      </c>
      <c r="F41" s="5" t="n">
        <f aca="false">IF(Corpus!R41="5x",Assumptions!$B$17,Assumptions!$B$19)</f>
        <v>0.216505</v>
      </c>
      <c r="G41" s="5" t="n">
        <f aca="false">Bootstrap!D41</f>
        <v>0.8746</v>
      </c>
      <c r="H41" s="5" t="n">
        <f aca="false">IF(Corpus!Q41="None",1,Bootstrap!K41)</f>
        <v>0.9826</v>
      </c>
      <c r="I41" s="5" t="n">
        <f aca="false">F41*G41*H41</f>
        <v>0.1860604912498</v>
      </c>
      <c r="J41" s="5" t="n">
        <f aca="false">B41*I41</f>
        <v>2.41079086260832</v>
      </c>
      <c r="K41" s="5" t="n">
        <f aca="false">J41*Assumptions!$B$9</f>
        <v>0.851009174500738</v>
      </c>
      <c r="L41" s="5" t="n">
        <f aca="false">J41*Assumptions!$B$10</f>
        <v>0.124396808510589</v>
      </c>
      <c r="M41" s="5" t="n">
        <f aca="false">J41*Assumptions!$B$21</f>
        <v>0.383074668068463</v>
      </c>
    </row>
    <row r="42" s="1" customFormat="true" ht="15.75" hidden="false" customHeight="true" outlineLevel="0" collapsed="false">
      <c r="A42" s="1" t="s">
        <v>159</v>
      </c>
      <c r="B42" s="5" t="n">
        <f aca="false">Table6!L42</f>
        <v>14.4581544221518</v>
      </c>
      <c r="C42" s="4" t="n">
        <f aca="false">Corpus!E42</f>
        <v>53.5</v>
      </c>
      <c r="D42" s="4" t="n">
        <f aca="false">Corpus!F42</f>
        <v>6.6</v>
      </c>
      <c r="E42" s="1" t="str">
        <f aca="false">Corpus!Q42</f>
        <v>High</v>
      </c>
      <c r="F42" s="5" t="n">
        <f aca="false">IF(Corpus!R42="5x",Assumptions!$B$17,Assumptions!$B$19)</f>
        <v>0.216505</v>
      </c>
      <c r="G42" s="5" t="n">
        <f aca="false">Bootstrap!D42</f>
        <v>0.8951</v>
      </c>
      <c r="H42" s="5" t="n">
        <f aca="false">IF(Corpus!Q42="None",1,Bootstrap!K42)</f>
        <v>0.9852</v>
      </c>
      <c r="I42" s="5" t="n">
        <f aca="false">F42*G42*H42</f>
        <v>0.1909254798426</v>
      </c>
      <c r="J42" s="5" t="n">
        <f aca="false">B42*I42</f>
        <v>2.76043007068774</v>
      </c>
      <c r="K42" s="5" t="n">
        <f aca="false">J42*Assumptions!$B$9</f>
        <v>0.974431814952771</v>
      </c>
      <c r="L42" s="5" t="n">
        <f aca="false">J42*Assumptions!$B$10</f>
        <v>0.142438191647487</v>
      </c>
      <c r="M42" s="5" t="n">
        <f aca="false">J42*Assumptions!$B$21</f>
        <v>0.438632338232282</v>
      </c>
    </row>
    <row r="43" s="1" customFormat="true" ht="15.75" hidden="false" customHeight="true" outlineLevel="0" collapsed="false">
      <c r="A43" s="1" t="s">
        <v>160</v>
      </c>
      <c r="B43" s="5" t="n">
        <f aca="false">Table6!L43</f>
        <v>16.356577208205</v>
      </c>
      <c r="C43" s="4" t="n">
        <f aca="false">Corpus!E43</f>
        <v>54.7</v>
      </c>
      <c r="D43" s="4" t="n">
        <f aca="false">Corpus!F43</f>
        <v>8.5</v>
      </c>
      <c r="E43" s="1" t="str">
        <f aca="false">Corpus!Q43</f>
        <v>xHigh</v>
      </c>
      <c r="F43" s="5" t="n">
        <f aca="false">IF(Corpus!R43="5x",Assumptions!$B$17,Assumptions!$B$19)</f>
        <v>0.216505</v>
      </c>
      <c r="G43" s="5" t="n">
        <f aca="false">Bootstrap!D43</f>
        <v>0.8573</v>
      </c>
      <c r="H43" s="5" t="n">
        <f aca="false">IF(Corpus!Q43="None",1,Bootstrap!K43)</f>
        <v>0.9749</v>
      </c>
      <c r="I43" s="5" t="n">
        <f aca="false">F43*G43*H43</f>
        <v>0.18095093211385</v>
      </c>
      <c r="J43" s="5" t="n">
        <f aca="false">B43*I43</f>
        <v>2.95973789201686</v>
      </c>
      <c r="K43" s="5" t="n">
        <f aca="false">J43*Assumptions!$B$9</f>
        <v>1.04478747588195</v>
      </c>
      <c r="L43" s="5" t="n">
        <f aca="false">J43*Assumptions!$B$10</f>
        <v>0.15272247522807</v>
      </c>
      <c r="M43" s="5" t="n">
        <f aca="false">J43*Assumptions!$B$21</f>
        <v>0.470302351041478</v>
      </c>
    </row>
    <row r="44" s="1" customFormat="true" ht="15.75" hidden="false" customHeight="true" outlineLevel="0" collapsed="false">
      <c r="A44" s="1" t="s">
        <v>161</v>
      </c>
      <c r="B44" s="5" t="n">
        <f aca="false">Table6!L44</f>
        <v>16.356577208205</v>
      </c>
      <c r="C44" s="4" t="n">
        <f aca="false">Corpus!E44</f>
        <v>54.7</v>
      </c>
      <c r="D44" s="4" t="n">
        <f aca="false">Corpus!F44</f>
        <v>8.5</v>
      </c>
      <c r="E44" s="1" t="str">
        <f aca="false">Corpus!Q44</f>
        <v>Max (floor)</v>
      </c>
      <c r="F44" s="5" t="n">
        <f aca="false">IF(Corpus!R44="5x",Assumptions!$B$17,Assumptions!$B$19)</f>
        <v>0.216505</v>
      </c>
      <c r="G44" s="5" t="n">
        <f aca="false">Bootstrap!D44</f>
        <v>0.8573</v>
      </c>
      <c r="H44" s="5" t="n">
        <f aca="false">IF(Corpus!Q44="None",1,Bootstrap!K44)</f>
        <v>0.9749</v>
      </c>
      <c r="I44" s="5" t="n">
        <f aca="false">F44*G44*H44</f>
        <v>0.18095093211385</v>
      </c>
      <c r="J44" s="5" t="n">
        <f aca="false">B44*I44</f>
        <v>2.95973789201686</v>
      </c>
      <c r="K44" s="5" t="n">
        <f aca="false">J44*Assumptions!$B$9</f>
        <v>1.04478747588195</v>
      </c>
      <c r="L44" s="5" t="n">
        <f aca="false">J44*Assumptions!$B$10</f>
        <v>0.15272247522807</v>
      </c>
      <c r="M44" s="5" t="n">
        <f aca="false">J44*Assumptions!$B$21</f>
        <v>0.470302351041478</v>
      </c>
    </row>
    <row r="45" s="1" customFormat="true" ht="15.75" hidden="false" customHeight="true" outlineLevel="0" collapsed="false">
      <c r="A45" s="1" t="s">
        <v>163</v>
      </c>
      <c r="B45" s="5" t="n">
        <f aca="false">Table6!L45</f>
        <v>6.73684056241611</v>
      </c>
      <c r="C45" s="4" t="n">
        <f aca="false">Corpus!E45</f>
        <v>94.5</v>
      </c>
      <c r="D45" s="4" t="n">
        <f aca="false">Corpus!F45</f>
        <v>11.9</v>
      </c>
      <c r="E45" s="1" t="str">
        <f aca="false">Corpus!Q45</f>
        <v>Minimal (measured)</v>
      </c>
      <c r="F45" s="5" t="n">
        <f aca="false">IF(Corpus!R45="5x",Assumptions!$B$17,Assumptions!$B$19)</f>
        <v>0.216505</v>
      </c>
      <c r="G45" s="5" t="n">
        <f aca="false">Bootstrap!D45</f>
        <v>0.8911</v>
      </c>
      <c r="H45" s="5" t="n">
        <f aca="false">IF(Corpus!Q45="None",1,Bootstrap!K45)</f>
        <v>0.9898</v>
      </c>
      <c r="I45" s="5" t="n">
        <f aca="false">F45*G45*H45</f>
        <v>0.1909597439239</v>
      </c>
      <c r="J45" s="5" t="n">
        <f aca="false">B45*I45</f>
        <v>1.28646534865512</v>
      </c>
      <c r="K45" s="5" t="n">
        <f aca="false">J45*Assumptions!$B$9</f>
        <v>0.454122268075258</v>
      </c>
      <c r="L45" s="5" t="n">
        <f aca="false">J45*Assumptions!$B$10</f>
        <v>0.0663816119906043</v>
      </c>
      <c r="M45" s="5" t="n">
        <f aca="false">J45*Assumptions!$B$21</f>
        <v>0.204419343901299</v>
      </c>
    </row>
    <row r="46" s="1" customFormat="true" ht="15.75" hidden="false" customHeight="true" outlineLevel="0" collapsed="false">
      <c r="A46" s="1" t="s">
        <v>164</v>
      </c>
      <c r="B46" s="5" t="n">
        <f aca="false">Table6!L46</f>
        <v>6.86899928255528</v>
      </c>
      <c r="C46" s="4" t="n">
        <f aca="false">Corpus!E46</f>
        <v>93.1</v>
      </c>
      <c r="D46" s="4" t="n">
        <f aca="false">Corpus!F46</f>
        <v>9.7</v>
      </c>
      <c r="E46" s="1" t="str">
        <f aca="false">Corpus!Q46</f>
        <v>Low</v>
      </c>
      <c r="F46" s="5" t="n">
        <f aca="false">IF(Corpus!R46="5x",Assumptions!$B$17,Assumptions!$B$19)</f>
        <v>0.216505</v>
      </c>
      <c r="G46" s="5" t="n">
        <f aca="false">Bootstrap!D46</f>
        <v>0.9007</v>
      </c>
      <c r="H46" s="5" t="n">
        <f aca="false">IF(Corpus!Q46="None",1,Bootstrap!K46)</f>
        <v>0.984</v>
      </c>
      <c r="I46" s="5" t="n">
        <f aca="false">F46*G46*H46</f>
        <v>0.191885956644</v>
      </c>
      <c r="J46" s="5" t="n">
        <f aca="false">B46*I46</f>
        <v>1.31806449852007</v>
      </c>
      <c r="K46" s="5" t="n">
        <f aca="false">J46*Assumptions!$B$9</f>
        <v>0.465276767977585</v>
      </c>
      <c r="L46" s="5" t="n">
        <f aca="false">J46*Assumptions!$B$10</f>
        <v>0.0680121281236356</v>
      </c>
      <c r="M46" s="5" t="n">
        <f aca="false">J46*Assumptions!$B$21</f>
        <v>0.209440448814839</v>
      </c>
    </row>
    <row r="47" s="1" customFormat="true" ht="15.75" hidden="false" customHeight="true" outlineLevel="0" collapsed="false">
      <c r="A47" s="1" t="s">
        <v>165</v>
      </c>
      <c r="B47" s="5" t="n">
        <f aca="false">Table6!L47</f>
        <v>6.82832611907021</v>
      </c>
      <c r="C47" s="4" t="n">
        <f aca="false">Corpus!E47</f>
        <v>93.5</v>
      </c>
      <c r="D47" s="4" t="n">
        <f aca="false">Corpus!F47</f>
        <v>9.1</v>
      </c>
      <c r="E47" s="1" t="str">
        <f aca="false">Corpus!Q47</f>
        <v>Medium</v>
      </c>
      <c r="F47" s="5" t="n">
        <f aca="false">IF(Corpus!R47="5x",Assumptions!$B$17,Assumptions!$B$19)</f>
        <v>0.216505</v>
      </c>
      <c r="G47" s="5" t="n">
        <f aca="false">Bootstrap!D47</f>
        <v>0.8988</v>
      </c>
      <c r="H47" s="5" t="n">
        <f aca="false">IF(Corpus!Q47="None",1,Bootstrap!K47)</f>
        <v>0.9814</v>
      </c>
      <c r="I47" s="5" t="n">
        <f aca="false">F47*G47*H47</f>
        <v>0.1909752326916</v>
      </c>
      <c r="J47" s="5" t="n">
        <f aca="false">B47*I47</f>
        <v>1.30404116948356</v>
      </c>
      <c r="K47" s="5" t="n">
        <f aca="false">J47*Assumptions!$B$9</f>
        <v>0.460326532827698</v>
      </c>
      <c r="L47" s="5" t="n">
        <f aca="false">J47*Assumptions!$B$10</f>
        <v>0.0672885243453519</v>
      </c>
      <c r="M47" s="5" t="n">
        <f aca="false">J47*Assumptions!$B$21</f>
        <v>0.207212141830938</v>
      </c>
    </row>
    <row r="48" s="1" customFormat="true" ht="15.75" hidden="false" customHeight="true" outlineLevel="0" collapsed="false">
      <c r="A48" s="1" t="s">
        <v>166</v>
      </c>
      <c r="B48" s="5" t="n">
        <f aca="false">Table6!L48</f>
        <v>7.17712477151382</v>
      </c>
      <c r="C48" s="4" t="n">
        <f aca="false">Corpus!E48</f>
        <v>94</v>
      </c>
      <c r="D48" s="4" t="n">
        <f aca="false">Corpus!F48</f>
        <v>9.7</v>
      </c>
      <c r="E48" s="1" t="str">
        <f aca="false">Corpus!Q48</f>
        <v>High</v>
      </c>
      <c r="F48" s="5" t="n">
        <f aca="false">IF(Corpus!R48="5x",Assumptions!$B$17,Assumptions!$B$19)</f>
        <v>0.216505</v>
      </c>
      <c r="G48" s="5" t="n">
        <f aca="false">Bootstrap!D48</f>
        <v>0.9007</v>
      </c>
      <c r="H48" s="5" t="n">
        <f aca="false">IF(Corpus!Q48="None",1,Bootstrap!K48)</f>
        <v>0.9921</v>
      </c>
      <c r="I48" s="5" t="n">
        <f aca="false">F48*G48*H48</f>
        <v>0.19346550567735</v>
      </c>
      <c r="J48" s="5" t="n">
        <f aca="false">B48*I48</f>
        <v>1.38852607323036</v>
      </c>
      <c r="K48" s="5" t="n">
        <f aca="false">J48*Assumptions!$B$9</f>
        <v>0.490149703850316</v>
      </c>
      <c r="L48" s="5" t="n">
        <f aca="false">J48*Assumptions!$B$10</f>
        <v>0.0716479453786864</v>
      </c>
      <c r="M48" s="5" t="n">
        <f aca="false">J48*Assumptions!$B$21</f>
        <v>0.220636793036304</v>
      </c>
    </row>
    <row r="49" s="1" customFormat="true" ht="15.75" hidden="false" customHeight="true" outlineLevel="0" collapsed="false">
      <c r="A49" s="1" t="s">
        <v>167</v>
      </c>
      <c r="B49" s="5" t="n">
        <f aca="false">Table6!L49</f>
        <v>8.34176426086957</v>
      </c>
      <c r="C49" s="4" t="n">
        <f aca="false">Corpus!E49</f>
        <v>94.7</v>
      </c>
      <c r="D49" s="4" t="n">
        <f aca="false">Corpus!F49</f>
        <v>8.4</v>
      </c>
      <c r="E49" s="1" t="str">
        <f aca="false">Corpus!Q49</f>
        <v>xHigh</v>
      </c>
      <c r="F49" s="5" t="n">
        <f aca="false">IF(Corpus!R49="5x",Assumptions!$B$17,Assumptions!$B$19)</f>
        <v>0.216505</v>
      </c>
      <c r="G49" s="5" t="n">
        <f aca="false">Bootstrap!D49</f>
        <v>0.8917</v>
      </c>
      <c r="H49" s="5" t="n">
        <f aca="false">IF(Corpus!Q49="None",1,Bootstrap!K49)</f>
        <v>0.9746</v>
      </c>
      <c r="I49" s="5" t="n">
        <f aca="false">F49*G49*H49</f>
        <v>0.1881538477841</v>
      </c>
      <c r="J49" s="5" t="n">
        <f aca="false">B49*I49</f>
        <v>1.5695350429905</v>
      </c>
      <c r="K49" s="5" t="n">
        <f aca="false">J49*Assumptions!$B$9</f>
        <v>0.554045870175646</v>
      </c>
      <c r="L49" s="5" t="n">
        <f aca="false">J49*Assumptions!$B$10</f>
        <v>0.0809880082183097</v>
      </c>
      <c r="M49" s="5" t="n">
        <f aca="false">J49*Assumptions!$B$21</f>
        <v>0.24939911833119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 min="1" style="1" width="26"/>
    <col collapsed="false" customWidth="true" hidden="false" outlineLevel="0" max="2" min="2" style="1" width="12"/>
    <col collapsed="false" customWidth="true" hidden="false" outlineLevel="0" max="3" min="3" style="1" width="10"/>
    <col collapsed="false" customWidth="true" hidden="false" outlineLevel="0" max="4" min="4" style="1" width="9"/>
    <col collapsed="false" customWidth="true" hidden="false" outlineLevel="0" max="5" min="5" style="1" width="18"/>
    <col collapsed="false" customWidth="true" hidden="false" outlineLevel="0" max="7" min="6" style="1" width="10"/>
    <col collapsed="false" customWidth="true" hidden="false" outlineLevel="0" max="8" min="8" style="1" width="8"/>
    <col collapsed="false" customWidth="true" hidden="false" outlineLevel="0" max="9" min="9" style="1" width="12"/>
    <col collapsed="false" customWidth="true" hidden="false" outlineLevel="0" max="10" min="10" style="1" width="10"/>
    <col collapsed="false" customWidth="true" hidden="false" outlineLevel="0" max="13" min="11" style="1" width="20"/>
  </cols>
  <sheetData>
    <row r="1" s="1" customFormat="true" ht="15" hidden="false" customHeight="true" outlineLevel="0" collapsed="false">
      <c r="A1" s="2" t="s">
        <v>200</v>
      </c>
    </row>
    <row r="2" s="1" customFormat="true" ht="15" hidden="false" customHeight="true" outlineLevel="0" collapsed="false">
      <c r="A2" s="2" t="s">
        <v>169</v>
      </c>
      <c r="B2" s="2" t="s">
        <v>189</v>
      </c>
      <c r="C2" s="2" t="s">
        <v>190</v>
      </c>
      <c r="D2" s="2" t="s">
        <v>191</v>
      </c>
      <c r="E2" s="2" t="s">
        <v>178</v>
      </c>
      <c r="F2" s="2" t="s">
        <v>201</v>
      </c>
      <c r="G2" s="2" t="s">
        <v>202</v>
      </c>
      <c r="H2" s="2" t="s">
        <v>203</v>
      </c>
      <c r="I2" s="2" t="s">
        <v>195</v>
      </c>
      <c r="J2" s="2" t="s">
        <v>204</v>
      </c>
      <c r="K2" s="2" t="s">
        <v>197</v>
      </c>
      <c r="L2" s="2" t="s">
        <v>198</v>
      </c>
      <c r="M2" s="2" t="s">
        <v>199</v>
      </c>
    </row>
    <row r="3" s="1" customFormat="true" ht="15" hidden="false" customHeight="true" outlineLevel="0" collapsed="false">
      <c r="A3" s="1" t="s">
        <v>107</v>
      </c>
      <c r="B3" s="5" t="n">
        <f aca="false">Table6!L3</f>
        <v>2.0195</v>
      </c>
      <c r="C3" s="4" t="n">
        <f aca="false">Corpus!E3</f>
        <v>80.1</v>
      </c>
      <c r="D3" s="4" t="n">
        <f aca="false">Corpus!F3</f>
        <v>23.9</v>
      </c>
      <c r="E3" s="1" t="str">
        <f aca="false">Corpus!Q3</f>
        <v>None</v>
      </c>
      <c r="F3" s="5" t="n">
        <f aca="false">IF(Corpus!R3="5x",Assumptions!$B$18,Assumptions!$B$20)</f>
        <v>1.236</v>
      </c>
      <c r="G3" s="5" t="n">
        <f aca="false">Bootstrap!E3</f>
        <v>1.1563</v>
      </c>
      <c r="H3" s="5" t="n">
        <f aca="false">IF(Corpus!Q3="None",1,Bootstrap!L3)</f>
        <v>1</v>
      </c>
      <c r="I3" s="5" t="n">
        <f aca="false">F3*G3*H3</f>
        <v>1.4291868</v>
      </c>
      <c r="J3" s="5" t="n">
        <f aca="false">B3*I3</f>
        <v>2.8862427426</v>
      </c>
      <c r="K3" s="5" t="n">
        <f aca="false">J3*Assumptions!$B$9</f>
        <v>1.0188436881378</v>
      </c>
      <c r="L3" s="5" t="n">
        <f aca="false">J3*Assumptions!$B$10</f>
        <v>0.14893012551816</v>
      </c>
      <c r="M3" s="5" t="n">
        <f aca="false">J3*Assumptions!$B$21</f>
        <v>0.45862397179914</v>
      </c>
    </row>
    <row r="4" s="1" customFormat="true" ht="15" hidden="false" customHeight="true" outlineLevel="0" collapsed="false">
      <c r="A4" s="1" t="s">
        <v>110</v>
      </c>
      <c r="B4" s="5" t="n">
        <f aca="false">Table6!L4</f>
        <v>7.77886280848963</v>
      </c>
      <c r="C4" s="4" t="n">
        <f aca="false">Corpus!E4</f>
        <v>61.4</v>
      </c>
      <c r="D4" s="4" t="n">
        <f aca="false">Corpus!F4</f>
        <v>13.3</v>
      </c>
      <c r="E4" s="1" t="str">
        <f aca="false">Corpus!Q4</f>
        <v>None</v>
      </c>
      <c r="F4" s="5" t="n">
        <f aca="false">IF(Corpus!R4="5x",Assumptions!$B$18,Assumptions!$B$20)</f>
        <v>1.82928</v>
      </c>
      <c r="G4" s="5" t="n">
        <f aca="false">Bootstrap!E4</f>
        <v>1.1253</v>
      </c>
      <c r="H4" s="5" t="n">
        <f aca="false">IF(Corpus!Q4="None",1,Bootstrap!L4)</f>
        <v>1</v>
      </c>
      <c r="I4" s="5" t="n">
        <f aca="false">F4*G4*H4</f>
        <v>2.058488784</v>
      </c>
      <c r="J4" s="5" t="n">
        <f aca="false">B4*I4</f>
        <v>16.0127018435507</v>
      </c>
      <c r="K4" s="5" t="n">
        <f aca="false">J4*Assumptions!$B$9</f>
        <v>5.65248375077338</v>
      </c>
      <c r="L4" s="5" t="n">
        <f aca="false">J4*Assumptions!$B$10</f>
        <v>0.826255415127214</v>
      </c>
      <c r="M4" s="5" t="n">
        <f aca="false">J4*Assumptions!$B$21</f>
        <v>2.5444183229402</v>
      </c>
    </row>
    <row r="5" s="1" customFormat="true" ht="15" hidden="false" customHeight="true" outlineLevel="0" collapsed="false">
      <c r="A5" s="1" t="s">
        <v>113</v>
      </c>
      <c r="B5" s="5" t="n">
        <f aca="false">Table6!L5</f>
        <v>17.2843016023771</v>
      </c>
      <c r="C5" s="4" t="n">
        <f aca="false">Corpus!E5</f>
        <v>61.7</v>
      </c>
      <c r="D5" s="4" t="n">
        <f aca="false">Corpus!F5</f>
        <v>14.2</v>
      </c>
      <c r="E5" s="1" t="str">
        <f aca="false">Corpus!Q5</f>
        <v>Low</v>
      </c>
      <c r="F5" s="5" t="n">
        <f aca="false">IF(Corpus!R5="5x",Assumptions!$B$18,Assumptions!$B$20)</f>
        <v>1.82928</v>
      </c>
      <c r="G5" s="5" t="n">
        <f aca="false">Bootstrap!E5</f>
        <v>1.1249</v>
      </c>
      <c r="H5" s="5" t="n">
        <f aca="false">IF(Corpus!Q5="None",1,Bootstrap!L5)</f>
        <v>1.0356</v>
      </c>
      <c r="I5" s="5" t="n">
        <f aca="false">F5*G5*H5</f>
        <v>2.1310132237632</v>
      </c>
      <c r="J5" s="5" t="n">
        <f aca="false">B5*I5</f>
        <v>36.833075278177</v>
      </c>
      <c r="K5" s="5" t="n">
        <f aca="false">J5*Assumptions!$B$9</f>
        <v>13.0020755731965</v>
      </c>
      <c r="L5" s="5" t="n">
        <f aca="false">J5*Assumptions!$B$10</f>
        <v>1.90058668435393</v>
      </c>
      <c r="M5" s="5" t="n">
        <f aca="false">J5*Assumptions!$B$21</f>
        <v>5.85277566170232</v>
      </c>
    </row>
    <row r="6" s="1" customFormat="true" ht="15" hidden="false" customHeight="true" outlineLevel="0" collapsed="false">
      <c r="A6" s="1" t="s">
        <v>115</v>
      </c>
      <c r="B6" s="5" t="n">
        <f aca="false">Table6!L6</f>
        <v>28.6048407272727</v>
      </c>
      <c r="C6" s="4" t="n">
        <f aca="false">Corpus!E6</f>
        <v>60.8</v>
      </c>
      <c r="D6" s="4" t="n">
        <f aca="false">Corpus!F6</f>
        <v>14.5</v>
      </c>
      <c r="E6" s="1" t="str">
        <f aca="false">Corpus!Q6</f>
        <v>Medium</v>
      </c>
      <c r="F6" s="5" t="n">
        <f aca="false">IF(Corpus!R6="5x",Assumptions!$B$18,Assumptions!$B$20)</f>
        <v>1.82928</v>
      </c>
      <c r="G6" s="5" t="n">
        <f aca="false">Bootstrap!E6</f>
        <v>1.1299</v>
      </c>
      <c r="H6" s="5" t="n">
        <f aca="false">IF(Corpus!Q6="None",1,Bootstrap!L6)</f>
        <v>1.046</v>
      </c>
      <c r="I6" s="5" t="n">
        <f aca="false">F6*G6*H6</f>
        <v>2.161981031712</v>
      </c>
      <c r="J6" s="5" t="n">
        <f aca="false">B6*I6</f>
        <v>61.8431230675065</v>
      </c>
      <c r="K6" s="5" t="n">
        <f aca="false">J6*Assumptions!$B$9</f>
        <v>21.8306224428298</v>
      </c>
      <c r="L6" s="5" t="n">
        <f aca="false">J6*Assumptions!$B$10</f>
        <v>3.19110515028334</v>
      </c>
      <c r="M6" s="5" t="n">
        <f aca="false">J6*Assumptions!$B$21</f>
        <v>9.82687225542679</v>
      </c>
    </row>
    <row r="7" s="1" customFormat="true" ht="15" hidden="false" customHeight="true" outlineLevel="0" collapsed="false">
      <c r="A7" s="1" t="s">
        <v>117</v>
      </c>
      <c r="B7" s="5" t="n">
        <f aca="false">Table6!L7</f>
        <v>41.93524062</v>
      </c>
      <c r="C7" s="4" t="n">
        <f aca="false">Corpus!E7</f>
        <v>68.1</v>
      </c>
      <c r="D7" s="4" t="n">
        <f aca="false">Corpus!F7</f>
        <v>15.7</v>
      </c>
      <c r="E7" s="1" t="str">
        <f aca="false">Corpus!Q7</f>
        <v>High</v>
      </c>
      <c r="F7" s="5" t="n">
        <f aca="false">IF(Corpus!R7="5x",Assumptions!$B$18,Assumptions!$B$20)</f>
        <v>1.82928</v>
      </c>
      <c r="G7" s="5" t="n">
        <f aca="false">Bootstrap!E7</f>
        <v>1.1202</v>
      </c>
      <c r="H7" s="5" t="n">
        <f aca="false">IF(Corpus!Q7="None",1,Bootstrap!L7)</f>
        <v>1.0593</v>
      </c>
      <c r="I7" s="5" t="n">
        <f aca="false">F7*G7*H7</f>
        <v>2.1706746117408</v>
      </c>
      <c r="J7" s="5" t="n">
        <f aca="false">B7*I7</f>
        <v>91.0277621510755</v>
      </c>
      <c r="K7" s="5" t="n">
        <f aca="false">J7*Assumptions!$B$9</f>
        <v>32.1328000393297</v>
      </c>
      <c r="L7" s="5" t="n">
        <f aca="false">J7*Assumptions!$B$10</f>
        <v>4.6970325269955</v>
      </c>
      <c r="M7" s="5" t="n">
        <f aca="false">J7*Assumptions!$B$21</f>
        <v>14.4643114058059</v>
      </c>
    </row>
    <row r="8" s="1" customFormat="true" ht="15" hidden="false" customHeight="true" outlineLevel="0" collapsed="false">
      <c r="A8" s="1" t="s">
        <v>119</v>
      </c>
      <c r="B8" s="5" t="n">
        <f aca="false">Table6!L8</f>
        <v>28.6660841653193</v>
      </c>
      <c r="C8" s="4" t="n">
        <f aca="false">Corpus!E8</f>
        <v>63.8</v>
      </c>
      <c r="D8" s="4" t="n">
        <f aca="false">Corpus!F8</f>
        <v>16.7</v>
      </c>
      <c r="E8" s="1" t="str">
        <f aca="false">Corpus!Q8</f>
        <v>xHigh</v>
      </c>
      <c r="F8" s="5" t="n">
        <f aca="false">IF(Corpus!R8="5x",Assumptions!$B$18,Assumptions!$B$20)</f>
        <v>1.82928</v>
      </c>
      <c r="G8" s="5" t="n">
        <f aca="false">Bootstrap!E8</f>
        <v>1.1394</v>
      </c>
      <c r="H8" s="5" t="n">
        <f aca="false">IF(Corpus!Q8="None",1,Bootstrap!L8)</f>
        <v>1.079</v>
      </c>
      <c r="I8" s="5" t="n">
        <f aca="false">F8*G8*H8</f>
        <v>2.248939880928</v>
      </c>
      <c r="J8" s="5" t="n">
        <f aca="false">B8*I8</f>
        <v>64.4682999094253</v>
      </c>
      <c r="K8" s="5" t="n">
        <f aca="false">J8*Assumptions!$B$9</f>
        <v>22.7573098680271</v>
      </c>
      <c r="L8" s="5" t="n">
        <f aca="false">J8*Assumptions!$B$10</f>
        <v>3.32656427532634</v>
      </c>
      <c r="M8" s="5" t="n">
        <f aca="false">J8*Assumptions!$B$21</f>
        <v>10.2440128556077</v>
      </c>
    </row>
    <row r="9" s="1" customFormat="true" ht="15" hidden="false" customHeight="true" outlineLevel="0" collapsed="false">
      <c r="A9" s="1" t="s">
        <v>121</v>
      </c>
      <c r="B9" s="5" t="n">
        <f aca="false">Table6!L9</f>
        <v>7.84078410447761</v>
      </c>
      <c r="C9" s="4" t="n">
        <f aca="false">Corpus!E9</f>
        <v>59.6</v>
      </c>
      <c r="D9" s="4" t="n">
        <f aca="false">Corpus!F9</f>
        <v>6.4</v>
      </c>
      <c r="E9" s="1" t="str">
        <f aca="false">Corpus!Q9</f>
        <v>None</v>
      </c>
      <c r="F9" s="5" t="n">
        <f aca="false">IF(Corpus!R9="5x",Assumptions!$B$18,Assumptions!$B$20)</f>
        <v>1.82928</v>
      </c>
      <c r="G9" s="5" t="n">
        <f aca="false">Bootstrap!E9</f>
        <v>1.1051</v>
      </c>
      <c r="H9" s="5" t="n">
        <f aca="false">IF(Corpus!Q9="None",1,Bootstrap!L9)</f>
        <v>1</v>
      </c>
      <c r="I9" s="5" t="n">
        <f aca="false">F9*G9*H9</f>
        <v>2.021537328</v>
      </c>
      <c r="J9" s="5" t="n">
        <f aca="false">B9*I9</f>
        <v>15.8504377479905</v>
      </c>
      <c r="K9" s="5" t="n">
        <f aca="false">J9*Assumptions!$B$9</f>
        <v>5.59520452504066</v>
      </c>
      <c r="L9" s="5" t="n">
        <f aca="false">J9*Assumptions!$B$10</f>
        <v>0.817882587796312</v>
      </c>
      <c r="M9" s="5" t="n">
        <f aca="false">J9*Assumptions!$B$21</f>
        <v>2.5186345581557</v>
      </c>
    </row>
    <row r="10" s="1" customFormat="true" ht="15" hidden="false" customHeight="true" outlineLevel="0" collapsed="false">
      <c r="A10" s="1" t="s">
        <v>123</v>
      </c>
      <c r="B10" s="5" t="n">
        <f aca="false">Table6!L10</f>
        <v>13.7245750061707</v>
      </c>
      <c r="C10" s="4" t="n">
        <f aca="false">Corpus!E10</f>
        <v>57</v>
      </c>
      <c r="D10" s="4" t="n">
        <f aca="false">Corpus!F10</f>
        <v>6</v>
      </c>
      <c r="E10" s="1" t="str">
        <f aca="false">Corpus!Q10</f>
        <v>Low</v>
      </c>
      <c r="F10" s="5" t="n">
        <f aca="false">IF(Corpus!R10="5x",Assumptions!$B$18,Assumptions!$B$20)</f>
        <v>1.82928</v>
      </c>
      <c r="G10" s="5" t="n">
        <f aca="false">Bootstrap!E10</f>
        <v>1.1179</v>
      </c>
      <c r="H10" s="5" t="n">
        <f aca="false">IF(Corpus!Q10="None",1,Bootstrap!L10)</f>
        <v>1.0318</v>
      </c>
      <c r="I10" s="5" t="n">
        <f aca="false">F10*G10*H10</f>
        <v>2.1099815891616</v>
      </c>
      <c r="J10" s="5" t="n">
        <f aca="false">B10*I10</f>
        <v>28.9586005820876</v>
      </c>
      <c r="K10" s="5" t="n">
        <f aca="false">J10*Assumptions!$B$9</f>
        <v>10.2223860054769</v>
      </c>
      <c r="L10" s="5" t="n">
        <f aca="false">J10*Assumptions!$B$10</f>
        <v>1.49426379003572</v>
      </c>
      <c r="M10" s="5" t="n">
        <f aca="false">J10*Assumptions!$B$21</f>
        <v>4.60152163249372</v>
      </c>
    </row>
    <row r="11" s="1" customFormat="true" ht="15" hidden="false" customHeight="true" outlineLevel="0" collapsed="false">
      <c r="A11" s="1" t="s">
        <v>124</v>
      </c>
      <c r="B11" s="5" t="n">
        <f aca="false">Table6!L11</f>
        <v>15.0562595700935</v>
      </c>
      <c r="C11" s="4" t="n">
        <f aca="false">Corpus!E11</f>
        <v>57.9</v>
      </c>
      <c r="D11" s="4" t="n">
        <f aca="false">Corpus!F11</f>
        <v>6.3</v>
      </c>
      <c r="E11" s="1" t="str">
        <f aca="false">Corpus!Q11</f>
        <v>Medium</v>
      </c>
      <c r="F11" s="5" t="n">
        <f aca="false">IF(Corpus!R11="5x",Assumptions!$B$18,Assumptions!$B$20)</f>
        <v>1.82928</v>
      </c>
      <c r="G11" s="5" t="n">
        <f aca="false">Bootstrap!E11</f>
        <v>1.1139</v>
      </c>
      <c r="H11" s="5" t="n">
        <f aca="false">IF(Corpus!Q11="None",1,Bootstrap!L11)</f>
        <v>1.0163</v>
      </c>
      <c r="I11" s="5" t="n">
        <f aca="false">F11*G11*H11</f>
        <v>2.0708484423696</v>
      </c>
      <c r="J11" s="5" t="n">
        <f aca="false">B11*I11</f>
        <v>31.1792316786404</v>
      </c>
      <c r="K11" s="5" t="n">
        <f aca="false">J11*Assumptions!$B$9</f>
        <v>11.0062687825601</v>
      </c>
      <c r="L11" s="5" t="n">
        <f aca="false">J11*Assumptions!$B$10</f>
        <v>1.60884835461785</v>
      </c>
      <c r="M11" s="5" t="n">
        <f aca="false">J11*Assumptions!$B$21</f>
        <v>4.95437991373596</v>
      </c>
    </row>
    <row r="12" s="1" customFormat="true" ht="15" hidden="false" customHeight="true" outlineLevel="0" collapsed="false">
      <c r="A12" s="1" t="s">
        <v>125</v>
      </c>
      <c r="B12" s="5" t="n">
        <f aca="false">Table6!L12</f>
        <v>16.8117453397268</v>
      </c>
      <c r="C12" s="4" t="n">
        <f aca="false">Corpus!E12</f>
        <v>57.5</v>
      </c>
      <c r="D12" s="4" t="n">
        <f aca="false">Corpus!F12</f>
        <v>6.4</v>
      </c>
      <c r="E12" s="1" t="str">
        <f aca="false">Corpus!Q12</f>
        <v>High</v>
      </c>
      <c r="F12" s="5" t="n">
        <f aca="false">IF(Corpus!R12="5x",Assumptions!$B$18,Assumptions!$B$20)</f>
        <v>1.82928</v>
      </c>
      <c r="G12" s="5" t="n">
        <f aca="false">Bootstrap!E12</f>
        <v>1.101</v>
      </c>
      <c r="H12" s="5" t="n">
        <f aca="false">IF(Corpus!Q12="None",1,Bootstrap!L12)</f>
        <v>1.0078</v>
      </c>
      <c r="I12" s="5" t="n">
        <f aca="false">F12*G12*H12</f>
        <v>2.029746770784</v>
      </c>
      <c r="J12" s="5" t="n">
        <f aca="false">B12*I12</f>
        <v>34.1235858145533</v>
      </c>
      <c r="K12" s="5" t="n">
        <f aca="false">J12*Assumptions!$B$9</f>
        <v>12.0456257925373</v>
      </c>
      <c r="L12" s="5" t="n">
        <f aca="false">J12*Assumptions!$B$10</f>
        <v>1.76077702803095</v>
      </c>
      <c r="M12" s="5" t="n">
        <f aca="false">J12*Assumptions!$B$21</f>
        <v>5.42223778593252</v>
      </c>
    </row>
    <row r="13" s="1" customFormat="true" ht="15" hidden="false" customHeight="true" outlineLevel="0" collapsed="false">
      <c r="A13" s="1" t="s">
        <v>126</v>
      </c>
      <c r="B13" s="5" t="n">
        <f aca="false">Table6!L13</f>
        <v>25.6341755586799</v>
      </c>
      <c r="C13" s="4" t="n">
        <f aca="false">Corpus!E13</f>
        <v>59.1</v>
      </c>
      <c r="D13" s="4" t="n">
        <f aca="false">Corpus!F13</f>
        <v>6.9</v>
      </c>
      <c r="E13" s="1" t="str">
        <f aca="false">Corpus!Q13</f>
        <v>xHigh</v>
      </c>
      <c r="F13" s="5" t="n">
        <f aca="false">IF(Corpus!R13="5x",Assumptions!$B$18,Assumptions!$B$20)</f>
        <v>1.82928</v>
      </c>
      <c r="G13" s="5" t="n">
        <f aca="false">Bootstrap!E13</f>
        <v>1.1161</v>
      </c>
      <c r="H13" s="5" t="n">
        <f aca="false">IF(Corpus!Q13="None",1,Bootstrap!L13)</f>
        <v>1.0231</v>
      </c>
      <c r="I13" s="5" t="n">
        <f aca="false">F13*G13*H13</f>
        <v>2.0888217403248</v>
      </c>
      <c r="J13" s="5" t="n">
        <f aca="false">B13*I13</f>
        <v>53.5452232022732</v>
      </c>
      <c r="K13" s="5" t="n">
        <f aca="false">J13*Assumptions!$B$9</f>
        <v>18.9014637904025</v>
      </c>
      <c r="L13" s="5" t="n">
        <f aca="false">J13*Assumptions!$B$10</f>
        <v>2.7629335172373</v>
      </c>
      <c r="M13" s="5" t="n">
        <f aca="false">J13*Assumptions!$B$21</f>
        <v>8.50833596684122</v>
      </c>
    </row>
    <row r="14" s="1" customFormat="true" ht="15" hidden="false" customHeight="true" outlineLevel="0" collapsed="false">
      <c r="A14" s="1" t="s">
        <v>127</v>
      </c>
      <c r="B14" s="5" t="n">
        <f aca="false">Table6!L14</f>
        <v>3.01953813705454</v>
      </c>
      <c r="C14" s="4" t="n">
        <f aca="false">Corpus!E14</f>
        <v>156.6</v>
      </c>
      <c r="D14" s="4" t="n">
        <f aca="false">Corpus!F14</f>
        <v>18.7</v>
      </c>
      <c r="E14" s="1" t="str">
        <f aca="false">Corpus!Q14</f>
        <v>None</v>
      </c>
      <c r="F14" s="5" t="n">
        <f aca="false">IF(Corpus!R14="5x",Assumptions!$B$18,Assumptions!$B$20)</f>
        <v>1.82928</v>
      </c>
      <c r="G14" s="5" t="n">
        <f aca="false">Bootstrap!E14</f>
        <v>1.114</v>
      </c>
      <c r="H14" s="5" t="n">
        <f aca="false">IF(Corpus!Q14="None",1,Bootstrap!L14)</f>
        <v>1</v>
      </c>
      <c r="I14" s="5" t="n">
        <f aca="false">F14*G14*H14</f>
        <v>2.03781792</v>
      </c>
      <c r="J14" s="5" t="n">
        <f aca="false">B14*I14</f>
        <v>6.15326892581316</v>
      </c>
      <c r="K14" s="5" t="n">
        <f aca="false">J14*Assumptions!$B$9</f>
        <v>2.17210393081205</v>
      </c>
      <c r="L14" s="5" t="n">
        <f aca="false">J14*Assumptions!$B$10</f>
        <v>0.317508676571959</v>
      </c>
      <c r="M14" s="5" t="n">
        <f aca="false">J14*Assumptions!$B$21</f>
        <v>0.977754432311711</v>
      </c>
    </row>
    <row r="15" s="1" customFormat="true" ht="15" hidden="false" customHeight="true" outlineLevel="0" collapsed="false">
      <c r="A15" s="1" t="s">
        <v>129</v>
      </c>
      <c r="B15" s="5" t="n">
        <f aca="false">Table6!L15</f>
        <v>4.97293292751682</v>
      </c>
      <c r="C15" s="4" t="n">
        <f aca="false">Corpus!E15</f>
        <v>154.1</v>
      </c>
      <c r="D15" s="4" t="n">
        <f aca="false">Corpus!F15</f>
        <v>18.5</v>
      </c>
      <c r="E15" s="1" t="str">
        <f aca="false">Corpus!Q15</f>
        <v>Low</v>
      </c>
      <c r="F15" s="5" t="n">
        <f aca="false">IF(Corpus!R15="5x",Assumptions!$B$18,Assumptions!$B$20)</f>
        <v>1.82928</v>
      </c>
      <c r="G15" s="5" t="n">
        <f aca="false">Bootstrap!E15</f>
        <v>1.1292</v>
      </c>
      <c r="H15" s="5" t="n">
        <f aca="false">IF(Corpus!Q15="None",1,Bootstrap!L15)</f>
        <v>1.0187</v>
      </c>
      <c r="I15" s="5" t="n">
        <f aca="false">F15*G15*H15</f>
        <v>2.1042501256512</v>
      </c>
      <c r="J15" s="5" t="n">
        <f aca="false">B15*I15</f>
        <v>10.4642947375823</v>
      </c>
      <c r="K15" s="5" t="n">
        <f aca="false">J15*Assumptions!$B$9</f>
        <v>3.69389604236654</v>
      </c>
      <c r="L15" s="5" t="n">
        <f aca="false">J15*Assumptions!$B$10</f>
        <v>0.539957608459245</v>
      </c>
      <c r="M15" s="5" t="n">
        <f aca="false">J15*Assumptions!$B$21</f>
        <v>1.66277643380182</v>
      </c>
    </row>
    <row r="16" s="1" customFormat="true" ht="15" hidden="false" customHeight="true" outlineLevel="0" collapsed="false">
      <c r="A16" s="1" t="s">
        <v>130</v>
      </c>
      <c r="B16" s="5" t="n">
        <f aca="false">Table6!L16</f>
        <v>5.54629926375</v>
      </c>
      <c r="C16" s="4" t="n">
        <f aca="false">Corpus!E16</f>
        <v>152.3</v>
      </c>
      <c r="D16" s="4" t="n">
        <f aca="false">Corpus!F16</f>
        <v>22.1</v>
      </c>
      <c r="E16" s="1" t="str">
        <f aca="false">Corpus!Q16</f>
        <v>Medium</v>
      </c>
      <c r="F16" s="5" t="n">
        <f aca="false">IF(Corpus!R16="5x",Assumptions!$B$18,Assumptions!$B$20)</f>
        <v>1.82928</v>
      </c>
      <c r="G16" s="5" t="n">
        <f aca="false">Bootstrap!E16</f>
        <v>1.1094</v>
      </c>
      <c r="H16" s="5" t="n">
        <f aca="false">IF(Corpus!Q16="None",1,Bootstrap!L16)</f>
        <v>1.0171</v>
      </c>
      <c r="I16" s="5" t="n">
        <f aca="false">F16*G16*H16</f>
        <v>2.0641060272672</v>
      </c>
      <c r="J16" s="5" t="n">
        <f aca="false">B16*I16</f>
        <v>11.448149739334</v>
      </c>
      <c r="K16" s="5" t="n">
        <f aca="false">J16*Assumptions!$B$9</f>
        <v>4.04119685798491</v>
      </c>
      <c r="L16" s="5" t="n">
        <f aca="false">J16*Assumptions!$B$10</f>
        <v>0.590724526549635</v>
      </c>
      <c r="M16" s="5" t="n">
        <f aca="false">J16*Assumptions!$B$21</f>
        <v>1.81911099358017</v>
      </c>
    </row>
    <row r="17" s="1" customFormat="true" ht="15" hidden="false" customHeight="true" outlineLevel="0" collapsed="false">
      <c r="A17" s="1" t="s">
        <v>131</v>
      </c>
      <c r="B17" s="5" t="n">
        <f aca="false">Table6!L17</f>
        <v>5.9148700359116</v>
      </c>
      <c r="C17" s="4" t="n">
        <f aca="false">Corpus!E17</f>
        <v>155.2</v>
      </c>
      <c r="D17" s="4" t="n">
        <f aca="false">Corpus!F17</f>
        <v>19.5</v>
      </c>
      <c r="E17" s="1" t="str">
        <f aca="false">Corpus!Q17</f>
        <v>High</v>
      </c>
      <c r="F17" s="5" t="n">
        <f aca="false">IF(Corpus!R17="5x",Assumptions!$B$18,Assumptions!$B$20)</f>
        <v>1.82928</v>
      </c>
      <c r="G17" s="5" t="n">
        <f aca="false">Bootstrap!E17</f>
        <v>1.1087</v>
      </c>
      <c r="H17" s="5" t="n">
        <f aca="false">IF(Corpus!Q17="None",1,Bootstrap!L17)</f>
        <v>1.0241</v>
      </c>
      <c r="I17" s="5" t="n">
        <f aca="false">F17*G17*H17</f>
        <v>2.0770004939376</v>
      </c>
      <c r="J17" s="5" t="n">
        <f aca="false">B17*I17</f>
        <v>12.2851879861651</v>
      </c>
      <c r="K17" s="5" t="n">
        <f aca="false">J17*Assumptions!$B$9</f>
        <v>4.33667135911628</v>
      </c>
      <c r="L17" s="5" t="n">
        <f aca="false">J17*Assumptions!$B$10</f>
        <v>0.63391570008612</v>
      </c>
      <c r="M17" s="5" t="n">
        <f aca="false">J17*Assumptions!$B$21</f>
        <v>1.95211637100164</v>
      </c>
    </row>
    <row r="18" s="1" customFormat="true" ht="15" hidden="false" customHeight="true" outlineLevel="0" collapsed="false">
      <c r="A18" s="1" t="s">
        <v>132</v>
      </c>
      <c r="B18" s="5" t="n">
        <f aca="false">Table6!L18</f>
        <v>11.3322364549459</v>
      </c>
      <c r="C18" s="4" t="n">
        <f aca="false">Corpus!E18</f>
        <v>153.7</v>
      </c>
      <c r="D18" s="4" t="n">
        <f aca="false">Corpus!F18</f>
        <v>19.8</v>
      </c>
      <c r="E18" s="1" t="str">
        <f aca="false">Corpus!Q18</f>
        <v>xHigh</v>
      </c>
      <c r="F18" s="5" t="n">
        <f aca="false">IF(Corpus!R18="5x",Assumptions!$B$18,Assumptions!$B$20)</f>
        <v>1.82928</v>
      </c>
      <c r="G18" s="5" t="n">
        <f aca="false">Bootstrap!E18</f>
        <v>1.1416</v>
      </c>
      <c r="H18" s="5" t="n">
        <f aca="false">IF(Corpus!Q18="None",1,Bootstrap!L18)</f>
        <v>1.0229</v>
      </c>
      <c r="I18" s="5" t="n">
        <f aca="false">F18*G18*H18</f>
        <v>2.1361282564992</v>
      </c>
      <c r="J18" s="5" t="n">
        <f aca="false">B18*I18</f>
        <v>24.2071105007403</v>
      </c>
      <c r="K18" s="5" t="n">
        <f aca="false">J18*Assumptions!$B$9</f>
        <v>8.54511000676132</v>
      </c>
      <c r="L18" s="5" t="n">
        <f aca="false">J18*Assumptions!$B$10</f>
        <v>1.2490869018382</v>
      </c>
      <c r="M18" s="5" t="n">
        <f aca="false">J18*Assumptions!$B$21</f>
        <v>3.84650985856763</v>
      </c>
    </row>
    <row r="19" s="1" customFormat="true" ht="15" hidden="false" customHeight="true" outlineLevel="0" collapsed="false">
      <c r="A19" s="1" t="s">
        <v>133</v>
      </c>
      <c r="B19" s="5" t="n">
        <f aca="false">Table6!L19</f>
        <v>3.251490829379</v>
      </c>
      <c r="C19" s="4" t="n">
        <f aca="false">Corpus!E19</f>
        <v>140.5</v>
      </c>
      <c r="D19" s="4" t="n">
        <f aca="false">Corpus!F19</f>
        <v>18.1</v>
      </c>
      <c r="E19" s="1" t="str">
        <f aca="false">Corpus!Q19</f>
        <v>None</v>
      </c>
      <c r="F19" s="5" t="n">
        <f aca="false">IF(Corpus!R19="5x",Assumptions!$B$18,Assumptions!$B$20)</f>
        <v>1.82928</v>
      </c>
      <c r="G19" s="5" t="n">
        <f aca="false">Bootstrap!E19</f>
        <v>1.1107</v>
      </c>
      <c r="H19" s="5" t="n">
        <f aca="false">IF(Corpus!Q19="None",1,Bootstrap!L19)</f>
        <v>1</v>
      </c>
      <c r="I19" s="5" t="n">
        <f aca="false">F19*G19*H19</f>
        <v>2.031781296</v>
      </c>
      <c r="J19" s="5" t="n">
        <f aca="false">B19*I19</f>
        <v>6.60631825124777</v>
      </c>
      <c r="K19" s="5" t="n">
        <f aca="false">J19*Assumptions!$B$9</f>
        <v>2.33203034269046</v>
      </c>
      <c r="L19" s="5" t="n">
        <f aca="false">J19*Assumptions!$B$10</f>
        <v>0.340886021764385</v>
      </c>
      <c r="M19" s="5" t="n">
        <f aca="false">J19*Assumptions!$B$21</f>
        <v>1.04974397012327</v>
      </c>
    </row>
    <row r="20" s="1" customFormat="true" ht="15" hidden="false" customHeight="true" outlineLevel="0" collapsed="false">
      <c r="A20" s="1" t="s">
        <v>135</v>
      </c>
      <c r="B20" s="5" t="n">
        <f aca="false">Table6!L20</f>
        <v>4.91078307386036</v>
      </c>
      <c r="C20" s="4" t="n">
        <f aca="false">Corpus!E20</f>
        <v>137.2</v>
      </c>
      <c r="D20" s="4" t="n">
        <f aca="false">Corpus!F20</f>
        <v>14.3</v>
      </c>
      <c r="E20" s="1" t="str">
        <f aca="false">Corpus!Q20</f>
        <v>Low</v>
      </c>
      <c r="F20" s="5" t="n">
        <f aca="false">IF(Corpus!R20="5x",Assumptions!$B$18,Assumptions!$B$20)</f>
        <v>1.82928</v>
      </c>
      <c r="G20" s="5" t="n">
        <f aca="false">Bootstrap!E20</f>
        <v>1.111</v>
      </c>
      <c r="H20" s="5" t="n">
        <f aca="false">IF(Corpus!Q20="None",1,Bootstrap!L20)</f>
        <v>1.0185</v>
      </c>
      <c r="I20" s="5" t="n">
        <f aca="false">F20*G20*H20</f>
        <v>2.06992818648</v>
      </c>
      <c r="J20" s="5" t="n">
        <f aca="false">B20*I20</f>
        <v>10.1649683022725</v>
      </c>
      <c r="K20" s="5" t="n">
        <f aca="false">J20*Assumptions!$B$9</f>
        <v>3.58823381070218</v>
      </c>
      <c r="L20" s="5" t="n">
        <f aca="false">J20*Assumptions!$B$10</f>
        <v>0.524512364397259</v>
      </c>
      <c r="M20" s="5" t="n">
        <f aca="false">J20*Assumptions!$B$21</f>
        <v>1.61521346323109</v>
      </c>
    </row>
    <row r="21" s="1" customFormat="true" ht="15.75" hidden="false" customHeight="true" outlineLevel="0" collapsed="false">
      <c r="A21" s="1" t="s">
        <v>136</v>
      </c>
      <c r="B21" s="5" t="n">
        <f aca="false">Table6!L21</f>
        <v>5.61455450547536</v>
      </c>
      <c r="C21" s="4" t="n">
        <f aca="false">Corpus!E21</f>
        <v>136.7</v>
      </c>
      <c r="D21" s="4" t="n">
        <f aca="false">Corpus!F21</f>
        <v>15.2</v>
      </c>
      <c r="E21" s="1" t="str">
        <f aca="false">Corpus!Q21</f>
        <v>Medium</v>
      </c>
      <c r="F21" s="5" t="n">
        <f aca="false">IF(Corpus!R21="5x",Assumptions!$B$18,Assumptions!$B$20)</f>
        <v>1.82928</v>
      </c>
      <c r="G21" s="5" t="n">
        <f aca="false">Bootstrap!E21</f>
        <v>1.1104</v>
      </c>
      <c r="H21" s="5" t="n">
        <f aca="false">IF(Corpus!Q21="None",1,Bootstrap!L21)</f>
        <v>1.0957</v>
      </c>
      <c r="I21" s="5" t="n">
        <f aca="false">F21*G21*H21</f>
        <v>2.2256214633984</v>
      </c>
      <c r="J21" s="5" t="n">
        <f aca="false">B21*I21</f>
        <v>12.4958730148062</v>
      </c>
      <c r="K21" s="5" t="n">
        <f aca="false">J21*Assumptions!$B$9</f>
        <v>4.41104317422657</v>
      </c>
      <c r="L21" s="5" t="n">
        <f aca="false">J21*Assumptions!$B$10</f>
        <v>0.644787047563997</v>
      </c>
      <c r="M21" s="5" t="n">
        <f aca="false">J21*Assumptions!$B$21</f>
        <v>1.9855942220527</v>
      </c>
    </row>
    <row r="22" s="1" customFormat="true" ht="15.75" hidden="false" customHeight="true" outlineLevel="0" collapsed="false">
      <c r="A22" s="1" t="s">
        <v>137</v>
      </c>
      <c r="B22" s="5" t="n">
        <f aca="false">Table6!L22</f>
        <v>9.65776996465675</v>
      </c>
      <c r="C22" s="4" t="n">
        <f aca="false">Corpus!E22</f>
        <v>140.4</v>
      </c>
      <c r="D22" s="4" t="n">
        <f aca="false">Corpus!F22</f>
        <v>13.5</v>
      </c>
      <c r="E22" s="1" t="str">
        <f aca="false">Corpus!Q22</f>
        <v>High</v>
      </c>
      <c r="F22" s="5" t="n">
        <f aca="false">IF(Corpus!R22="5x",Assumptions!$B$18,Assumptions!$B$20)</f>
        <v>1.82928</v>
      </c>
      <c r="G22" s="5" t="n">
        <f aca="false">Bootstrap!E22</f>
        <v>1.1045</v>
      </c>
      <c r="H22" s="5" t="n">
        <f aca="false">IF(Corpus!Q22="None",1,Bootstrap!L22)</f>
        <v>1.0404</v>
      </c>
      <c r="I22" s="5" t="n">
        <f aca="false">F22*G22*H22</f>
        <v>2.102065526304</v>
      </c>
      <c r="J22" s="5" t="n">
        <f aca="false">B22*I22</f>
        <v>20.3012653036792</v>
      </c>
      <c r="K22" s="5" t="n">
        <f aca="false">J22*Assumptions!$B$9</f>
        <v>7.16634665219874</v>
      </c>
      <c r="L22" s="5" t="n">
        <f aca="false">J22*Assumptions!$B$10</f>
        <v>1.04754528966984</v>
      </c>
      <c r="M22" s="5" t="n">
        <f aca="false">J22*Assumptions!$B$21</f>
        <v>3.22587105675462</v>
      </c>
    </row>
    <row r="23" s="1" customFormat="true" ht="15.75" hidden="false" customHeight="true" outlineLevel="0" collapsed="false">
      <c r="A23" s="1" t="s">
        <v>138</v>
      </c>
      <c r="B23" s="5" t="n">
        <f aca="false">Table6!L23</f>
        <v>40.5080465491494</v>
      </c>
      <c r="C23" s="4" t="n">
        <f aca="false">Corpus!E23</f>
        <v>139.2</v>
      </c>
      <c r="D23" s="4" t="n">
        <f aca="false">Corpus!F23</f>
        <v>24.5</v>
      </c>
      <c r="E23" s="1" t="str">
        <f aca="false">Corpus!Q23</f>
        <v>xHigh</v>
      </c>
      <c r="F23" s="5" t="n">
        <f aca="false">IF(Corpus!R23="5x",Assumptions!$B$18,Assumptions!$B$20)</f>
        <v>1.82928</v>
      </c>
      <c r="G23" s="5" t="n">
        <f aca="false">Bootstrap!E23</f>
        <v>1.1887</v>
      </c>
      <c r="H23" s="5" t="n">
        <f aca="false">IF(Corpus!Q23="None",1,Bootstrap!L23)</f>
        <v>1.2569</v>
      </c>
      <c r="I23" s="5" t="n">
        <f aca="false">F23*G23*H23</f>
        <v>2.7330852294384</v>
      </c>
      <c r="J23" s="5" t="n">
        <f aca="false">B23*I23</f>
        <v>110.711943696883</v>
      </c>
      <c r="K23" s="5" t="n">
        <f aca="false">J23*Assumptions!$B$9</f>
        <v>39.0813161249998</v>
      </c>
      <c r="L23" s="5" t="n">
        <f aca="false">J23*Assumptions!$B$10</f>
        <v>5.71273629475918</v>
      </c>
      <c r="M23" s="5" t="n">
        <f aca="false">J23*Assumptions!$B$21</f>
        <v>17.5921278534348</v>
      </c>
    </row>
    <row r="24" s="1" customFormat="true" ht="15.75" hidden="false" customHeight="true" outlineLevel="0" collapsed="false">
      <c r="A24" s="1" t="s">
        <v>139</v>
      </c>
      <c r="B24" s="5" t="n">
        <f aca="false">Table6!L24</f>
        <v>5.50150432278334</v>
      </c>
      <c r="C24" s="4" t="n">
        <f aca="false">Corpus!E24</f>
        <v>86</v>
      </c>
      <c r="D24" s="4" t="n">
        <f aca="false">Corpus!F24</f>
        <v>12.7</v>
      </c>
      <c r="E24" s="1" t="str">
        <f aca="false">Corpus!Q24</f>
        <v>None</v>
      </c>
      <c r="F24" s="5" t="n">
        <f aca="false">IF(Corpus!R24="5x",Assumptions!$B$18,Assumptions!$B$20)</f>
        <v>1.82928</v>
      </c>
      <c r="G24" s="5" t="n">
        <f aca="false">Bootstrap!E24</f>
        <v>1.1286</v>
      </c>
      <c r="H24" s="5" t="n">
        <f aca="false">IF(Corpus!Q24="None",1,Bootstrap!L24)</f>
        <v>1</v>
      </c>
      <c r="I24" s="5" t="n">
        <f aca="false">F24*G24*H24</f>
        <v>2.064525408</v>
      </c>
      <c r="J24" s="5" t="n">
        <f aca="false">B24*I24</f>
        <v>11.357995456608</v>
      </c>
      <c r="K24" s="5" t="n">
        <f aca="false">J24*Assumptions!$B$9</f>
        <v>4.00937239618264</v>
      </c>
      <c r="L24" s="5" t="n">
        <f aca="false">J24*Assumptions!$B$10</f>
        <v>0.586072565560975</v>
      </c>
      <c r="M24" s="5" t="n">
        <f aca="false">J24*Assumptions!$B$21</f>
        <v>1.80478547805502</v>
      </c>
    </row>
    <row r="25" s="1" customFormat="true" ht="15.75" hidden="false" customHeight="true" outlineLevel="0" collapsed="false">
      <c r="A25" s="1" t="s">
        <v>141</v>
      </c>
      <c r="B25" s="5" t="n">
        <f aca="false">Table6!L25</f>
        <v>6.96431020212766</v>
      </c>
      <c r="C25" s="4" t="n">
        <f aca="false">Corpus!E25</f>
        <v>92.1</v>
      </c>
      <c r="D25" s="4" t="n">
        <f aca="false">Corpus!F25</f>
        <v>16.3</v>
      </c>
      <c r="E25" s="1" t="str">
        <f aca="false">Corpus!Q25</f>
        <v>Low</v>
      </c>
      <c r="F25" s="5" t="n">
        <f aca="false">IF(Corpus!R25="5x",Assumptions!$B$18,Assumptions!$B$20)</f>
        <v>1.82928</v>
      </c>
      <c r="G25" s="5" t="n">
        <f aca="false">Bootstrap!E25</f>
        <v>1.1064</v>
      </c>
      <c r="H25" s="5" t="n">
        <f aca="false">IF(Corpus!Q25="None",1,Bootstrap!L25)</f>
        <v>1.0137</v>
      </c>
      <c r="I25" s="5" t="n">
        <f aca="false">F25*G25*H25</f>
        <v>2.0516430328704</v>
      </c>
      <c r="J25" s="5" t="n">
        <f aca="false">B25*I25</f>
        <v>14.2882785049435</v>
      </c>
      <c r="K25" s="5" t="n">
        <f aca="false">J25*Assumptions!$B$9</f>
        <v>5.04376231224504</v>
      </c>
      <c r="L25" s="5" t="n">
        <f aca="false">J25*Assumptions!$B$10</f>
        <v>0.737275170855083</v>
      </c>
      <c r="M25" s="5" t="n">
        <f aca="false">J25*Assumptions!$B$21</f>
        <v>2.27040745443552</v>
      </c>
    </row>
    <row r="26" s="1" customFormat="true" ht="15.75" hidden="false" customHeight="true" outlineLevel="0" collapsed="false">
      <c r="A26" s="1" t="s">
        <v>142</v>
      </c>
      <c r="B26" s="5" t="n">
        <f aca="false">Table6!L26</f>
        <v>8.7787665</v>
      </c>
      <c r="C26" s="4" t="n">
        <f aca="false">Corpus!E26</f>
        <v>93</v>
      </c>
      <c r="D26" s="4" t="n">
        <f aca="false">Corpus!F26</f>
        <v>10.7</v>
      </c>
      <c r="E26" s="1" t="str">
        <f aca="false">Corpus!Q26</f>
        <v>Medium</v>
      </c>
      <c r="F26" s="5" t="n">
        <f aca="false">IF(Corpus!R26="5x",Assumptions!$B$18,Assumptions!$B$20)</f>
        <v>1.82928</v>
      </c>
      <c r="G26" s="5" t="n">
        <f aca="false">Bootstrap!E26</f>
        <v>1.1057</v>
      </c>
      <c r="H26" s="5" t="n">
        <f aca="false">IF(Corpus!Q26="None",1,Bootstrap!L26)</f>
        <v>1.0297</v>
      </c>
      <c r="I26" s="5" t="n">
        <f aca="false">F26*G26*H26</f>
        <v>2.0827071524112</v>
      </c>
      <c r="J26" s="5" t="n">
        <f aca="false">B26*I26</f>
        <v>18.2835997788978</v>
      </c>
      <c r="K26" s="5" t="n">
        <f aca="false">J26*Assumptions!$B$9</f>
        <v>6.45411072195094</v>
      </c>
      <c r="L26" s="5" t="n">
        <f aca="false">J26*Assumptions!$B$10</f>
        <v>0.943433748591128</v>
      </c>
      <c r="M26" s="5" t="n">
        <f aca="false">J26*Assumptions!$B$21</f>
        <v>2.90526400486687</v>
      </c>
    </row>
    <row r="27" s="1" customFormat="true" ht="15.75" hidden="false" customHeight="true" outlineLevel="0" collapsed="false">
      <c r="A27" s="1" t="s">
        <v>143</v>
      </c>
      <c r="B27" s="5" t="n">
        <f aca="false">Table6!L27</f>
        <v>11.2974738709677</v>
      </c>
      <c r="C27" s="4" t="n">
        <f aca="false">Corpus!E27</f>
        <v>93.4</v>
      </c>
      <c r="D27" s="4" t="n">
        <f aca="false">Corpus!F27</f>
        <v>11.3</v>
      </c>
      <c r="E27" s="1" t="str">
        <f aca="false">Corpus!Q27</f>
        <v>High</v>
      </c>
      <c r="F27" s="5" t="n">
        <f aca="false">IF(Corpus!R27="5x",Assumptions!$B$18,Assumptions!$B$20)</f>
        <v>1.82928</v>
      </c>
      <c r="G27" s="5" t="n">
        <f aca="false">Bootstrap!E27</f>
        <v>1.1001</v>
      </c>
      <c r="H27" s="5" t="n">
        <f aca="false">IF(Corpus!Q27="None",1,Bootstrap!L27)</f>
        <v>1.0694</v>
      </c>
      <c r="I27" s="5" t="n">
        <f aca="false">F27*G27*H27</f>
        <v>2.1520508584032</v>
      </c>
      <c r="J27" s="5" t="n">
        <f aca="false">B27*I27</f>
        <v>24.3127383418039</v>
      </c>
      <c r="K27" s="5" t="n">
        <f aca="false">J27*Assumptions!$B$9</f>
        <v>8.58239663465676</v>
      </c>
      <c r="L27" s="5" t="n">
        <f aca="false">J27*Assumptions!$B$10</f>
        <v>1.25453729843708</v>
      </c>
      <c r="M27" s="5" t="n">
        <f aca="false">J27*Assumptions!$B$21</f>
        <v>3.86329412251263</v>
      </c>
    </row>
    <row r="28" s="1" customFormat="true" ht="15.75" hidden="false" customHeight="true" outlineLevel="0" collapsed="false">
      <c r="A28" s="1" t="s">
        <v>144</v>
      </c>
      <c r="B28" s="5" t="n">
        <f aca="false">Table6!L28</f>
        <v>19.327335067623</v>
      </c>
      <c r="C28" s="4" t="n">
        <f aca="false">Corpus!E28</f>
        <v>95.6</v>
      </c>
      <c r="D28" s="4" t="n">
        <f aca="false">Corpus!F28</f>
        <v>10.1</v>
      </c>
      <c r="E28" s="1" t="str">
        <f aca="false">Corpus!Q28</f>
        <v>xHigh</v>
      </c>
      <c r="F28" s="5" t="n">
        <f aca="false">IF(Corpus!R28="5x",Assumptions!$B$18,Assumptions!$B$20)</f>
        <v>1.82928</v>
      </c>
      <c r="G28" s="5" t="n">
        <f aca="false">Bootstrap!E28</f>
        <v>1.1253</v>
      </c>
      <c r="H28" s="5" t="n">
        <f aca="false">IF(Corpus!Q28="None",1,Bootstrap!L28)</f>
        <v>1.0915</v>
      </c>
      <c r="I28" s="5" t="n">
        <f aca="false">F28*G28*H28</f>
        <v>2.246840507736</v>
      </c>
      <c r="J28" s="5" t="n">
        <f aca="false">B28*I28</f>
        <v>43.4254393365218</v>
      </c>
      <c r="K28" s="5" t="n">
        <f aca="false">J28*Assumptions!$B$9</f>
        <v>15.3291800857922</v>
      </c>
      <c r="L28" s="5" t="n">
        <f aca="false">J28*Assumptions!$B$10</f>
        <v>2.24075266976452</v>
      </c>
      <c r="M28" s="5" t="n">
        <f aca="false">J28*Assumptions!$B$21</f>
        <v>6.90030231057331</v>
      </c>
    </row>
    <row r="29" s="1" customFormat="true" ht="15.75" hidden="false" customHeight="true" outlineLevel="0" collapsed="false">
      <c r="A29" s="1" t="s">
        <v>145</v>
      </c>
      <c r="B29" s="5" t="n">
        <f aca="false">Table6!L29</f>
        <v>13.5017830889279</v>
      </c>
      <c r="C29" s="4" t="n">
        <f aca="false">Corpus!E29</f>
        <v>60.9</v>
      </c>
      <c r="D29" s="4" t="n">
        <f aca="false">Corpus!F29</f>
        <v>9.2</v>
      </c>
      <c r="E29" s="1" t="str">
        <f aca="false">Corpus!Q29</f>
        <v>Minimal (measured)</v>
      </c>
      <c r="F29" s="5" t="n">
        <f aca="false">IF(Corpus!R29="5x",Assumptions!$B$18,Assumptions!$B$20)</f>
        <v>1.82928</v>
      </c>
      <c r="G29" s="5" t="n">
        <f aca="false">Bootstrap!E29</f>
        <v>1.1137</v>
      </c>
      <c r="H29" s="5" t="n">
        <f aca="false">IF(Corpus!Q29="None",1,Bootstrap!L29)</f>
        <v>1.1035</v>
      </c>
      <c r="I29" s="5" t="n">
        <f aca="false">F29*G29*H29</f>
        <v>2.248126491576</v>
      </c>
      <c r="J29" s="5" t="n">
        <f aca="false">B29*I29</f>
        <v>30.3537162457316</v>
      </c>
      <c r="K29" s="5" t="n">
        <f aca="false">J29*Assumptions!$B$9</f>
        <v>10.7148618347432</v>
      </c>
      <c r="L29" s="5" t="n">
        <f aca="false">J29*Assumptions!$B$10</f>
        <v>1.56625175827975</v>
      </c>
      <c r="M29" s="5" t="n">
        <f aca="false">J29*Assumptions!$B$21</f>
        <v>4.82320551144674</v>
      </c>
    </row>
    <row r="30" s="1" customFormat="true" ht="15.75" hidden="false" customHeight="true" outlineLevel="0" collapsed="false">
      <c r="A30" s="1" t="s">
        <v>147</v>
      </c>
      <c r="B30" s="5" t="n">
        <f aca="false">Table6!L30</f>
        <v>11.1690934860704</v>
      </c>
      <c r="C30" s="4" t="n">
        <f aca="false">Corpus!E30</f>
        <v>61.2</v>
      </c>
      <c r="D30" s="4" t="n">
        <f aca="false">Corpus!F30</f>
        <v>8.6</v>
      </c>
      <c r="E30" s="1" t="str">
        <f aca="false">Corpus!Q30</f>
        <v>Low</v>
      </c>
      <c r="F30" s="5" t="n">
        <f aca="false">IF(Corpus!R30="5x",Assumptions!$B$18,Assumptions!$B$20)</f>
        <v>1.82928</v>
      </c>
      <c r="G30" s="5" t="n">
        <f aca="false">Bootstrap!E30</f>
        <v>1.1175</v>
      </c>
      <c r="H30" s="5" t="n">
        <f aca="false">IF(Corpus!Q30="None",1,Bootstrap!L30)</f>
        <v>1.0135</v>
      </c>
      <c r="I30" s="5" t="n">
        <f aca="false">F30*G30*H30</f>
        <v>2.0718173754</v>
      </c>
      <c r="J30" s="5" t="n">
        <f aca="false">B30*I30</f>
        <v>23.1403219519076</v>
      </c>
      <c r="K30" s="5" t="n">
        <f aca="false">J30*Assumptions!$B$9</f>
        <v>8.16853364902337</v>
      </c>
      <c r="L30" s="5" t="n">
        <f aca="false">J30*Assumptions!$B$10</f>
        <v>1.19404061271843</v>
      </c>
      <c r="M30" s="5" t="n">
        <f aca="false">J30*Assumptions!$B$21</f>
        <v>3.67699715815811</v>
      </c>
    </row>
    <row r="31" s="1" customFormat="true" ht="15.75" hidden="false" customHeight="true" outlineLevel="0" collapsed="false">
      <c r="A31" s="1" t="s">
        <v>148</v>
      </c>
      <c r="B31" s="5" t="n">
        <f aca="false">Table6!L31</f>
        <v>13.122528916653</v>
      </c>
      <c r="C31" s="4" t="n">
        <f aca="false">Corpus!E31</f>
        <v>61.4</v>
      </c>
      <c r="D31" s="4" t="n">
        <f aca="false">Corpus!F31</f>
        <v>9.1</v>
      </c>
      <c r="E31" s="1" t="str">
        <f aca="false">Corpus!Q31</f>
        <v>Medium</v>
      </c>
      <c r="F31" s="5" t="n">
        <f aca="false">IF(Corpus!R31="5x",Assumptions!$B$18,Assumptions!$B$20)</f>
        <v>1.82928</v>
      </c>
      <c r="G31" s="5" t="n">
        <f aca="false">Bootstrap!E31</f>
        <v>1.1052</v>
      </c>
      <c r="H31" s="5" t="n">
        <f aca="false">IF(Corpus!Q31="None",1,Bootstrap!L31)</f>
        <v>1.1574</v>
      </c>
      <c r="I31" s="5" t="n">
        <f aca="false">F31*G31*H31</f>
        <v>2.3399390242944</v>
      </c>
      <c r="J31" s="5" t="n">
        <f aca="false">B31*I31</f>
        <v>30.705917509508</v>
      </c>
      <c r="K31" s="5" t="n">
        <f aca="false">J31*Assumptions!$B$9</f>
        <v>10.8391888808563</v>
      </c>
      <c r="L31" s="5" t="n">
        <f aca="false">J31*Assumptions!$B$10</f>
        <v>1.58442534349061</v>
      </c>
      <c r="M31" s="5" t="n">
        <f aca="false">J31*Assumptions!$B$21</f>
        <v>4.87917029226083</v>
      </c>
    </row>
    <row r="32" s="1" customFormat="true" ht="15.75" hidden="false" customHeight="true" outlineLevel="0" collapsed="false">
      <c r="A32" s="1" t="s">
        <v>149</v>
      </c>
      <c r="B32" s="5" t="n">
        <f aca="false">Table6!L32</f>
        <v>18.6190522785467</v>
      </c>
      <c r="C32" s="4" t="n">
        <f aca="false">Corpus!E32</f>
        <v>61.5</v>
      </c>
      <c r="D32" s="4" t="n">
        <f aca="false">Corpus!F32</f>
        <v>9</v>
      </c>
      <c r="E32" s="1" t="str">
        <f aca="false">Corpus!Q32</f>
        <v>High</v>
      </c>
      <c r="F32" s="5" t="n">
        <f aca="false">IF(Corpus!R32="5x",Assumptions!$B$18,Assumptions!$B$20)</f>
        <v>1.82928</v>
      </c>
      <c r="G32" s="5" t="n">
        <f aca="false">Bootstrap!E32</f>
        <v>1.1104</v>
      </c>
      <c r="H32" s="5" t="n">
        <f aca="false">IF(Corpus!Q32="None",1,Bootstrap!L32)</f>
        <v>1.0129</v>
      </c>
      <c r="I32" s="5" t="n">
        <f aca="false">F32*G32*H32</f>
        <v>2.0574354114048</v>
      </c>
      <c r="J32" s="5" t="n">
        <f aca="false">B32*I32</f>
        <v>38.3074974846792</v>
      </c>
      <c r="K32" s="5" t="n">
        <f aca="false">J32*Assumptions!$B$9</f>
        <v>13.5225466120918</v>
      </c>
      <c r="L32" s="5" t="n">
        <f aca="false">J32*Assumptions!$B$10</f>
        <v>1.97666687020945</v>
      </c>
      <c r="M32" s="5" t="n">
        <f aca="false">J32*Assumptions!$B$21</f>
        <v>6.08706135031553</v>
      </c>
    </row>
    <row r="33" s="1" customFormat="true" ht="15.75" hidden="false" customHeight="true" outlineLevel="0" collapsed="false">
      <c r="A33" s="1" t="s">
        <v>150</v>
      </c>
      <c r="B33" s="5" t="n">
        <f aca="false">Table6!L33</f>
        <v>19.4138913785679</v>
      </c>
      <c r="C33" s="4" t="n">
        <f aca="false">Corpus!E33</f>
        <v>61.4</v>
      </c>
      <c r="D33" s="4" t="n">
        <f aca="false">Corpus!F33</f>
        <v>9.9</v>
      </c>
      <c r="E33" s="1" t="str">
        <f aca="false">Corpus!Q33</f>
        <v>xHigh</v>
      </c>
      <c r="F33" s="5" t="n">
        <f aca="false">IF(Corpus!R33="5x",Assumptions!$B$18,Assumptions!$B$20)</f>
        <v>1.82928</v>
      </c>
      <c r="G33" s="5" t="n">
        <f aca="false">Bootstrap!E33</f>
        <v>1.1057</v>
      </c>
      <c r="H33" s="5" t="n">
        <f aca="false">IF(Corpus!Q33="None",1,Bootstrap!L33)</f>
        <v>1.1021</v>
      </c>
      <c r="I33" s="5" t="n">
        <f aca="false">F33*G33*H33</f>
        <v>2.2291459188816</v>
      </c>
      <c r="J33" s="5" t="n">
        <f aca="false">B33*I33</f>
        <v>43.2763967361452</v>
      </c>
      <c r="K33" s="5" t="n">
        <f aca="false">J33*Assumptions!$B$9</f>
        <v>15.2765680478593</v>
      </c>
      <c r="L33" s="5" t="n">
        <f aca="false">J33*Assumptions!$B$10</f>
        <v>2.23306207158509</v>
      </c>
      <c r="M33" s="5" t="n">
        <f aca="false">J33*Assumptions!$B$21</f>
        <v>6.87661944137348</v>
      </c>
    </row>
    <row r="34" s="1" customFormat="true" ht="15.75" hidden="false" customHeight="true" outlineLevel="0" collapsed="false">
      <c r="A34" s="1" t="s">
        <v>151</v>
      </c>
      <c r="B34" s="5" t="n">
        <f aca="false">Table6!L34</f>
        <v>5.82354773210162</v>
      </c>
      <c r="C34" s="4" t="n">
        <f aca="false">Corpus!E34</f>
        <v>127.8</v>
      </c>
      <c r="D34" s="4" t="n">
        <f aca="false">Corpus!F34</f>
        <v>19.9</v>
      </c>
      <c r="E34" s="1" t="str">
        <f aca="false">Corpus!Q34</f>
        <v>Minimal (measured)</v>
      </c>
      <c r="F34" s="5" t="n">
        <f aca="false">IF(Corpus!R34="5x",Assumptions!$B$18,Assumptions!$B$20)</f>
        <v>1.82928</v>
      </c>
      <c r="G34" s="5" t="n">
        <f aca="false">Bootstrap!E34</f>
        <v>1.1126</v>
      </c>
      <c r="H34" s="5" t="n">
        <f aca="false">IF(Corpus!Q34="None",1,Bootstrap!L34)</f>
        <v>1.0229</v>
      </c>
      <c r="I34" s="5" t="n">
        <f aca="false">F34*G34*H34</f>
        <v>2.0818643116512</v>
      </c>
      <c r="J34" s="5" t="n">
        <f aca="false">B34*I34</f>
        <v>12.1238361906596</v>
      </c>
      <c r="K34" s="5" t="n">
        <f aca="false">J34*Assumptions!$B$9</f>
        <v>4.27971417530285</v>
      </c>
      <c r="L34" s="5" t="n">
        <f aca="false">J34*Assumptions!$B$10</f>
        <v>0.625589947438037</v>
      </c>
      <c r="M34" s="5" t="n">
        <f aca="false">J34*Assumptions!$B$21</f>
        <v>1.92647757069582</v>
      </c>
    </row>
    <row r="35" s="1" customFormat="true" ht="15.75" hidden="false" customHeight="true" outlineLevel="0" collapsed="false">
      <c r="A35" s="1" t="s">
        <v>152</v>
      </c>
      <c r="B35" s="5" t="n">
        <f aca="false">Table6!L35</f>
        <v>5.12781928361775</v>
      </c>
      <c r="C35" s="4" t="n">
        <f aca="false">Corpus!E35</f>
        <v>130</v>
      </c>
      <c r="D35" s="4" t="n">
        <f aca="false">Corpus!F35</f>
        <v>21.1</v>
      </c>
      <c r="E35" s="1" t="str">
        <f aca="false">Corpus!Q35</f>
        <v>Low</v>
      </c>
      <c r="F35" s="5" t="n">
        <f aca="false">IF(Corpus!R35="5x",Assumptions!$B$18,Assumptions!$B$20)</f>
        <v>1.82928</v>
      </c>
      <c r="G35" s="5" t="n">
        <f aca="false">Bootstrap!E35</f>
        <v>1.1121</v>
      </c>
      <c r="H35" s="5" t="n">
        <f aca="false">IF(Corpus!Q35="None",1,Bootstrap!L35)</f>
        <v>1.0209</v>
      </c>
      <c r="I35" s="5" t="n">
        <f aca="false">F35*G35*H35</f>
        <v>2.0768600418192</v>
      </c>
      <c r="J35" s="5" t="n">
        <f aca="false">B35*I35</f>
        <v>10.6497629718157</v>
      </c>
      <c r="K35" s="5" t="n">
        <f aca="false">J35*Assumptions!$B$9</f>
        <v>3.75936632905093</v>
      </c>
      <c r="L35" s="5" t="n">
        <f aca="false">J35*Assumptions!$B$10</f>
        <v>0.549527769345688</v>
      </c>
      <c r="M35" s="5" t="n">
        <f aca="false">J35*Assumptions!$B$21</f>
        <v>1.69224733622151</v>
      </c>
    </row>
    <row r="36" s="1" customFormat="true" ht="15.75" hidden="false" customHeight="true" outlineLevel="0" collapsed="false">
      <c r="A36" s="1" t="s">
        <v>153</v>
      </c>
      <c r="B36" s="5" t="n">
        <f aca="false">Table6!L36</f>
        <v>5.53719416477652</v>
      </c>
      <c r="C36" s="4" t="n">
        <f aca="false">Corpus!E36</f>
        <v>135.1</v>
      </c>
      <c r="D36" s="4" t="n">
        <f aca="false">Corpus!F36</f>
        <v>29.1</v>
      </c>
      <c r="E36" s="1" t="str">
        <f aca="false">Corpus!Q36</f>
        <v>Medium</v>
      </c>
      <c r="F36" s="5" t="n">
        <f aca="false">IF(Corpus!R36="5x",Assumptions!$B$18,Assumptions!$B$20)</f>
        <v>1.82928</v>
      </c>
      <c r="G36" s="5" t="n">
        <f aca="false">Bootstrap!E36</f>
        <v>1.1027</v>
      </c>
      <c r="H36" s="5" t="n">
        <f aca="false">IF(Corpus!Q36="None",1,Bootstrap!L36)</f>
        <v>1.0184</v>
      </c>
      <c r="I36" s="5" t="n">
        <f aca="false">F36*G36*H36</f>
        <v>2.0542625618304</v>
      </c>
      <c r="J36" s="5" t="n">
        <f aca="false">B36*I36</f>
        <v>11.3748506702862</v>
      </c>
      <c r="K36" s="5" t="n">
        <f aca="false">J36*Assumptions!$B$9</f>
        <v>4.01532228661101</v>
      </c>
      <c r="L36" s="5" t="n">
        <f aca="false">J36*Assumptions!$B$10</f>
        <v>0.586942294586766</v>
      </c>
      <c r="M36" s="5" t="n">
        <f aca="false">J36*Assumptions!$B$21</f>
        <v>1.80746377150847</v>
      </c>
    </row>
    <row r="37" s="1" customFormat="true" ht="15.75" hidden="false" customHeight="true" outlineLevel="0" collapsed="false">
      <c r="A37" s="1" t="s">
        <v>154</v>
      </c>
      <c r="B37" s="5" t="n">
        <f aca="false">Table6!L37</f>
        <v>7.45852231933594</v>
      </c>
      <c r="C37" s="4" t="n">
        <f aca="false">Corpus!E37</f>
        <v>131.4</v>
      </c>
      <c r="D37" s="4" t="n">
        <f aca="false">Corpus!F37</f>
        <v>17.8</v>
      </c>
      <c r="E37" s="1" t="str">
        <f aca="false">Corpus!Q37</f>
        <v>High</v>
      </c>
      <c r="F37" s="5" t="n">
        <f aca="false">IF(Corpus!R37="5x",Assumptions!$B$18,Assumptions!$B$20)</f>
        <v>1.82928</v>
      </c>
      <c r="G37" s="5" t="n">
        <f aca="false">Bootstrap!E37</f>
        <v>1.1213</v>
      </c>
      <c r="H37" s="5" t="n">
        <f aca="false">IF(Corpus!Q37="None",1,Bootstrap!L37)</f>
        <v>1.0726</v>
      </c>
      <c r="I37" s="5" t="n">
        <f aca="false">F37*G37*H37</f>
        <v>2.2000867268064</v>
      </c>
      <c r="J37" s="5" t="n">
        <f aca="false">B37*I37</f>
        <v>16.4093959563603</v>
      </c>
      <c r="K37" s="5" t="n">
        <f aca="false">J37*Assumptions!$B$9</f>
        <v>5.79251677259518</v>
      </c>
      <c r="L37" s="5" t="n">
        <f aca="false">J37*Assumptions!$B$10</f>
        <v>0.846724831348191</v>
      </c>
      <c r="M37" s="5" t="n">
        <f aca="false">J37*Assumptions!$B$21</f>
        <v>2.60745301746565</v>
      </c>
    </row>
    <row r="38" s="1" customFormat="true" ht="15.75" hidden="false" customHeight="true" outlineLevel="0" collapsed="false">
      <c r="A38" s="1" t="s">
        <v>155</v>
      </c>
      <c r="B38" s="5" t="n">
        <f aca="false">Table6!L38</f>
        <v>9.36883368870968</v>
      </c>
      <c r="C38" s="4" t="n">
        <f aca="false">Corpus!E38</f>
        <v>130.1</v>
      </c>
      <c r="D38" s="4" t="n">
        <f aca="false">Corpus!F38</f>
        <v>20.3</v>
      </c>
      <c r="E38" s="1" t="str">
        <f aca="false">Corpus!Q38</f>
        <v>xHigh</v>
      </c>
      <c r="F38" s="5" t="n">
        <f aca="false">IF(Corpus!R38="5x",Assumptions!$B$18,Assumptions!$B$20)</f>
        <v>1.82928</v>
      </c>
      <c r="G38" s="5" t="n">
        <f aca="false">Bootstrap!E38</f>
        <v>1.13</v>
      </c>
      <c r="H38" s="5" t="n">
        <f aca="false">IF(Corpus!Q38="None",1,Bootstrap!L38)</f>
        <v>1.0339</v>
      </c>
      <c r="I38" s="5" t="n">
        <f aca="false">F38*G38*H38</f>
        <v>2.13716062896</v>
      </c>
      <c r="J38" s="5" t="n">
        <f aca="false">B38*I38</f>
        <v>20.0227024987844</v>
      </c>
      <c r="K38" s="5" t="n">
        <f aca="false">J38*Assumptions!$B$9</f>
        <v>7.0680139820709</v>
      </c>
      <c r="L38" s="5" t="n">
        <f aca="false">J38*Assumptions!$B$10</f>
        <v>1.03317144893728</v>
      </c>
      <c r="M38" s="5" t="n">
        <f aca="false">J38*Assumptions!$B$21</f>
        <v>3.18160742705684</v>
      </c>
    </row>
    <row r="39" s="1" customFormat="true" ht="15.75" hidden="false" customHeight="true" outlineLevel="0" collapsed="false">
      <c r="A39" s="1" t="s">
        <v>156</v>
      </c>
      <c r="B39" s="5" t="n">
        <f aca="false">Table6!L39</f>
        <v>12.8677181130221</v>
      </c>
      <c r="C39" s="4" t="n">
        <f aca="false">Corpus!E39</f>
        <v>53.9</v>
      </c>
      <c r="D39" s="4" t="n">
        <f aca="false">Corpus!F39</f>
        <v>6.4</v>
      </c>
      <c r="E39" s="1" t="str">
        <f aca="false">Corpus!Q39</f>
        <v>Minimal (measured)</v>
      </c>
      <c r="F39" s="5" t="n">
        <f aca="false">IF(Corpus!R39="5x",Assumptions!$B$18,Assumptions!$B$20)</f>
        <v>1.82928</v>
      </c>
      <c r="G39" s="5" t="n">
        <f aca="false">Bootstrap!E39</f>
        <v>1.1058</v>
      </c>
      <c r="H39" s="5" t="n">
        <f aca="false">IF(Corpus!Q39="None",1,Bootstrap!L39)</f>
        <v>1.0104</v>
      </c>
      <c r="I39" s="5" t="n">
        <f aca="false">F39*G39*H39</f>
        <v>2.0438551293696</v>
      </c>
      <c r="J39" s="5" t="n">
        <f aca="false">B39*I39</f>
        <v>26.2997516685824</v>
      </c>
      <c r="K39" s="5" t="n">
        <f aca="false">J39*Assumptions!$B$9</f>
        <v>9.28381233900957</v>
      </c>
      <c r="L39" s="5" t="n">
        <f aca="false">J39*Assumptions!$B$10</f>
        <v>1.35706718609885</v>
      </c>
      <c r="M39" s="5" t="n">
        <f aca="false">J39*Assumptions!$B$21</f>
        <v>4.17903054013774</v>
      </c>
    </row>
    <row r="40" s="1" customFormat="true" ht="15.75" hidden="false" customHeight="true" outlineLevel="0" collapsed="false">
      <c r="A40" s="1" t="s">
        <v>157</v>
      </c>
      <c r="B40" s="5" t="n">
        <f aca="false">Table6!L40</f>
        <v>12.0031178428225</v>
      </c>
      <c r="C40" s="4" t="n">
        <f aca="false">Corpus!E40</f>
        <v>53.2</v>
      </c>
      <c r="D40" s="4" t="n">
        <f aca="false">Corpus!F40</f>
        <v>8.2</v>
      </c>
      <c r="E40" s="1" t="str">
        <f aca="false">Corpus!Q40</f>
        <v>Low</v>
      </c>
      <c r="F40" s="5" t="n">
        <f aca="false">IF(Corpus!R40="5x",Assumptions!$B$18,Assumptions!$B$20)</f>
        <v>1.82928</v>
      </c>
      <c r="G40" s="5" t="n">
        <f aca="false">Bootstrap!E40</f>
        <v>1.1204</v>
      </c>
      <c r="H40" s="5" t="n">
        <f aca="false">IF(Corpus!Q40="None",1,Bootstrap!L40)</f>
        <v>1.0124</v>
      </c>
      <c r="I40" s="5" t="n">
        <f aca="false">F40*G40*H40</f>
        <v>2.0749394258688</v>
      </c>
      <c r="J40" s="5" t="n">
        <f aca="false">B40*I40</f>
        <v>24.9057424454216</v>
      </c>
      <c r="K40" s="5" t="n">
        <f aca="false">J40*Assumptions!$B$9</f>
        <v>8.79172708323383</v>
      </c>
      <c r="L40" s="5" t="n">
        <f aca="false">J40*Assumptions!$B$10</f>
        <v>1.28513631018376</v>
      </c>
      <c r="M40" s="5" t="n">
        <f aca="false">J40*Assumptions!$B$21</f>
        <v>3.9575224745775</v>
      </c>
    </row>
    <row r="41" s="1" customFormat="true" ht="15.75" hidden="false" customHeight="true" outlineLevel="0" collapsed="false">
      <c r="A41" s="1" t="s">
        <v>158</v>
      </c>
      <c r="B41" s="5" t="n">
        <f aca="false">Table6!L41</f>
        <v>12.9570272894295</v>
      </c>
      <c r="C41" s="4" t="n">
        <f aca="false">Corpus!E41</f>
        <v>54.4</v>
      </c>
      <c r="D41" s="4" t="n">
        <f aca="false">Corpus!F41</f>
        <v>6.5</v>
      </c>
      <c r="E41" s="1" t="str">
        <f aca="false">Corpus!Q41</f>
        <v>Medium</v>
      </c>
      <c r="F41" s="5" t="n">
        <f aca="false">IF(Corpus!R41="5x",Assumptions!$B$18,Assumptions!$B$20)</f>
        <v>1.82928</v>
      </c>
      <c r="G41" s="5" t="n">
        <f aca="false">Bootstrap!E41</f>
        <v>1.0989</v>
      </c>
      <c r="H41" s="5" t="n">
        <f aca="false">IF(Corpus!Q41="None",1,Bootstrap!L41)</f>
        <v>1.0123</v>
      </c>
      <c r="I41" s="5" t="n">
        <f aca="false">F41*G41*H41</f>
        <v>2.0349212002416</v>
      </c>
      <c r="J41" s="5" t="n">
        <f aca="false">B41*I41</f>
        <v>26.3665295233691</v>
      </c>
      <c r="K41" s="5" t="n">
        <f aca="false">J41*Assumptions!$B$9</f>
        <v>9.3073849217493</v>
      </c>
      <c r="L41" s="5" t="n">
        <f aca="false">J41*Assumptions!$B$10</f>
        <v>1.36051292340585</v>
      </c>
      <c r="M41" s="5" t="n">
        <f aca="false">J41*Assumptions!$B$21</f>
        <v>4.18964154126335</v>
      </c>
    </row>
    <row r="42" s="1" customFormat="true" ht="15.75" hidden="false" customHeight="true" outlineLevel="0" collapsed="false">
      <c r="A42" s="1" t="s">
        <v>159</v>
      </c>
      <c r="B42" s="5" t="n">
        <f aca="false">Table6!L42</f>
        <v>14.4581544221518</v>
      </c>
      <c r="C42" s="4" t="n">
        <f aca="false">Corpus!E42</f>
        <v>53.5</v>
      </c>
      <c r="D42" s="4" t="n">
        <f aca="false">Corpus!F42</f>
        <v>6.6</v>
      </c>
      <c r="E42" s="1" t="str">
        <f aca="false">Corpus!Q42</f>
        <v>High</v>
      </c>
      <c r="F42" s="5" t="n">
        <f aca="false">IF(Corpus!R42="5x",Assumptions!$B$18,Assumptions!$B$20)</f>
        <v>1.82928</v>
      </c>
      <c r="G42" s="5" t="n">
        <f aca="false">Bootstrap!E42</f>
        <v>1.1205</v>
      </c>
      <c r="H42" s="5" t="n">
        <f aca="false">IF(Corpus!Q42="None",1,Bootstrap!L42)</f>
        <v>1.0107</v>
      </c>
      <c r="I42" s="5" t="n">
        <f aca="false">F42*G42*H42</f>
        <v>2.071640118168</v>
      </c>
      <c r="J42" s="5" t="n">
        <f aca="false">B42*I42</f>
        <v>29.9520927355977</v>
      </c>
      <c r="K42" s="5" t="n">
        <f aca="false">J42*Assumptions!$B$9</f>
        <v>10.573088735666</v>
      </c>
      <c r="L42" s="5" t="n">
        <f aca="false">J42*Assumptions!$B$10</f>
        <v>1.54552798515684</v>
      </c>
      <c r="M42" s="5" t="n">
        <f aca="false">J42*Assumptions!$B$21</f>
        <v>4.75938753568648</v>
      </c>
    </row>
    <row r="43" s="1" customFormat="true" ht="15.75" hidden="false" customHeight="true" outlineLevel="0" collapsed="false">
      <c r="A43" s="1" t="s">
        <v>160</v>
      </c>
      <c r="B43" s="5" t="n">
        <f aca="false">Table6!L43</f>
        <v>16.356577208205</v>
      </c>
      <c r="C43" s="4" t="n">
        <f aca="false">Corpus!E43</f>
        <v>54.7</v>
      </c>
      <c r="D43" s="4" t="n">
        <f aca="false">Corpus!F43</f>
        <v>8.5</v>
      </c>
      <c r="E43" s="1" t="str">
        <f aca="false">Corpus!Q43</f>
        <v>xHigh</v>
      </c>
      <c r="F43" s="5" t="n">
        <f aca="false">IF(Corpus!R43="5x",Assumptions!$B$18,Assumptions!$B$20)</f>
        <v>1.82928</v>
      </c>
      <c r="G43" s="5" t="n">
        <f aca="false">Bootstrap!E43</f>
        <v>1.1036</v>
      </c>
      <c r="H43" s="5" t="n">
        <f aca="false">IF(Corpus!Q43="None",1,Bootstrap!L43)</f>
        <v>1.0489</v>
      </c>
      <c r="I43" s="5" t="n">
        <f aca="false">F43*G43*H43</f>
        <v>2.1175124056512</v>
      </c>
      <c r="J43" s="5" t="n">
        <f aca="false">B43*I43</f>
        <v>34.6352551523658</v>
      </c>
      <c r="K43" s="5" t="n">
        <f aca="false">J43*Assumptions!$B$9</f>
        <v>12.2262450687851</v>
      </c>
      <c r="L43" s="5" t="n">
        <f aca="false">J43*Assumptions!$B$10</f>
        <v>1.78717916586208</v>
      </c>
      <c r="M43" s="5" t="n">
        <f aca="false">J43*Assumptions!$B$21</f>
        <v>5.50354204371093</v>
      </c>
    </row>
    <row r="44" s="1" customFormat="true" ht="15.75" hidden="false" customHeight="true" outlineLevel="0" collapsed="false">
      <c r="A44" s="1" t="s">
        <v>161</v>
      </c>
      <c r="B44" s="5" t="n">
        <f aca="false">Table6!L44</f>
        <v>16.356577208205</v>
      </c>
      <c r="C44" s="4" t="n">
        <f aca="false">Corpus!E44</f>
        <v>54.7</v>
      </c>
      <c r="D44" s="4" t="n">
        <f aca="false">Corpus!F44</f>
        <v>8.5</v>
      </c>
      <c r="E44" s="1" t="str">
        <f aca="false">Corpus!Q44</f>
        <v>Max (floor)</v>
      </c>
      <c r="F44" s="5" t="n">
        <f aca="false">IF(Corpus!R44="5x",Assumptions!$B$18,Assumptions!$B$20)</f>
        <v>1.82928</v>
      </c>
      <c r="G44" s="5" t="n">
        <f aca="false">Bootstrap!E44</f>
        <v>1.1072</v>
      </c>
      <c r="H44" s="5" t="n">
        <f aca="false">IF(Corpus!Q44="None",1,Bootstrap!L44)</f>
        <v>1.0489</v>
      </c>
      <c r="I44" s="5" t="n">
        <f aca="false">F44*G44*H44</f>
        <v>2.1244198401024</v>
      </c>
      <c r="J44" s="5" t="n">
        <f aca="false">B44*I44</f>
        <v>34.7482371372775</v>
      </c>
      <c r="K44" s="5" t="n">
        <f aca="false">J44*Assumptions!$B$9</f>
        <v>12.266127709459</v>
      </c>
      <c r="L44" s="5" t="n">
        <f aca="false">J44*Assumptions!$B$10</f>
        <v>1.79300903628352</v>
      </c>
      <c r="M44" s="5" t="n">
        <f aca="false">J44*Assumptions!$B$21</f>
        <v>5.5214948811134</v>
      </c>
    </row>
    <row r="45" s="1" customFormat="true" ht="15.75" hidden="false" customHeight="true" outlineLevel="0" collapsed="false">
      <c r="A45" s="1" t="s">
        <v>163</v>
      </c>
      <c r="B45" s="5" t="n">
        <f aca="false">Table6!L45</f>
        <v>6.73684056241611</v>
      </c>
      <c r="C45" s="4" t="n">
        <f aca="false">Corpus!E45</f>
        <v>94.5</v>
      </c>
      <c r="D45" s="4" t="n">
        <f aca="false">Corpus!F45</f>
        <v>11.9</v>
      </c>
      <c r="E45" s="1" t="str">
        <f aca="false">Corpus!Q45</f>
        <v>Minimal (measured)</v>
      </c>
      <c r="F45" s="5" t="n">
        <f aca="false">IF(Corpus!R45="5x",Assumptions!$B$18,Assumptions!$B$20)</f>
        <v>1.82928</v>
      </c>
      <c r="G45" s="5" t="n">
        <f aca="false">Bootstrap!E45</f>
        <v>1.1174</v>
      </c>
      <c r="H45" s="5" t="n">
        <f aca="false">IF(Corpus!Q45="None",1,Bootstrap!L45)</f>
        <v>1.0321</v>
      </c>
      <c r="I45" s="5" t="n">
        <f aca="false">F45*G45*H45</f>
        <v>2.1096510748512</v>
      </c>
      <c r="J45" s="5" t="n">
        <f aca="false">B45*I45</f>
        <v>14.2123829336023</v>
      </c>
      <c r="K45" s="5" t="n">
        <f aca="false">J45*Assumptions!$B$9</f>
        <v>5.01697117556161</v>
      </c>
      <c r="L45" s="5" t="n">
        <f aca="false">J45*Assumptions!$B$10</f>
        <v>0.733358959373879</v>
      </c>
      <c r="M45" s="5" t="n">
        <f aca="false">J45*Assumptions!$B$21</f>
        <v>2.25834764814941</v>
      </c>
    </row>
    <row r="46" s="1" customFormat="true" ht="15.75" hidden="false" customHeight="true" outlineLevel="0" collapsed="false">
      <c r="A46" s="1" t="s">
        <v>164</v>
      </c>
      <c r="B46" s="5" t="n">
        <f aca="false">Table6!L46</f>
        <v>6.86899928255528</v>
      </c>
      <c r="C46" s="4" t="n">
        <f aca="false">Corpus!E46</f>
        <v>93.1</v>
      </c>
      <c r="D46" s="4" t="n">
        <f aca="false">Corpus!F46</f>
        <v>9.7</v>
      </c>
      <c r="E46" s="1" t="str">
        <f aca="false">Corpus!Q46</f>
        <v>Low</v>
      </c>
      <c r="F46" s="5" t="n">
        <f aca="false">IF(Corpus!R46="5x",Assumptions!$B$18,Assumptions!$B$20)</f>
        <v>1.82928</v>
      </c>
      <c r="G46" s="5" t="n">
        <f aca="false">Bootstrap!E46</f>
        <v>1.1049</v>
      </c>
      <c r="H46" s="5" t="n">
        <f aca="false">IF(Corpus!Q46="None",1,Bootstrap!L46)</f>
        <v>1.0103</v>
      </c>
      <c r="I46" s="5" t="n">
        <f aca="false">F46*G46*H46</f>
        <v>2.0419895381616</v>
      </c>
      <c r="J46" s="5" t="n">
        <f aca="false">B46*I46</f>
        <v>14.0264246726174</v>
      </c>
      <c r="K46" s="5" t="n">
        <f aca="false">J46*Assumptions!$B$9</f>
        <v>4.95132790943395</v>
      </c>
      <c r="L46" s="5" t="n">
        <f aca="false">J46*Assumptions!$B$10</f>
        <v>0.723763513107059</v>
      </c>
      <c r="M46" s="5" t="n">
        <f aca="false">J46*Assumptions!$B$21</f>
        <v>2.22879888047891</v>
      </c>
    </row>
    <row r="47" s="1" customFormat="true" ht="15.75" hidden="false" customHeight="true" outlineLevel="0" collapsed="false">
      <c r="A47" s="1" t="s">
        <v>165</v>
      </c>
      <c r="B47" s="5" t="n">
        <f aca="false">Table6!L47</f>
        <v>6.82832611907021</v>
      </c>
      <c r="C47" s="4" t="n">
        <f aca="false">Corpus!E47</f>
        <v>93.5</v>
      </c>
      <c r="D47" s="4" t="n">
        <f aca="false">Corpus!F47</f>
        <v>9.1</v>
      </c>
      <c r="E47" s="1" t="str">
        <f aca="false">Corpus!Q47</f>
        <v>Medium</v>
      </c>
      <c r="F47" s="5" t="n">
        <f aca="false">IF(Corpus!R47="5x",Assumptions!$B$18,Assumptions!$B$20)</f>
        <v>1.82928</v>
      </c>
      <c r="G47" s="5" t="n">
        <f aca="false">Bootstrap!E47</f>
        <v>1.1045</v>
      </c>
      <c r="H47" s="5" t="n">
        <f aca="false">IF(Corpus!Q47="None",1,Bootstrap!L47)</f>
        <v>1.0095</v>
      </c>
      <c r="I47" s="5" t="n">
        <f aca="false">F47*G47*H47</f>
        <v>2.03963393772</v>
      </c>
      <c r="J47" s="5" t="n">
        <f aca="false">B47*I47</f>
        <v>13.9272856902755</v>
      </c>
      <c r="K47" s="5" t="n">
        <f aca="false">J47*Assumptions!$B$9</f>
        <v>4.91633184866725</v>
      </c>
      <c r="L47" s="5" t="n">
        <f aca="false">J47*Assumptions!$B$10</f>
        <v>0.718647941618216</v>
      </c>
      <c r="M47" s="5" t="n">
        <f aca="false">J47*Assumptions!$B$21</f>
        <v>2.21304569618478</v>
      </c>
    </row>
    <row r="48" s="1" customFormat="true" ht="15.75" hidden="false" customHeight="true" outlineLevel="0" collapsed="false">
      <c r="A48" s="1" t="s">
        <v>166</v>
      </c>
      <c r="B48" s="5" t="n">
        <f aca="false">Table6!L48</f>
        <v>7.17712477151382</v>
      </c>
      <c r="C48" s="4" t="n">
        <f aca="false">Corpus!E48</f>
        <v>94</v>
      </c>
      <c r="D48" s="4" t="n">
        <f aca="false">Corpus!F48</f>
        <v>9.7</v>
      </c>
      <c r="E48" s="1" t="str">
        <f aca="false">Corpus!Q48</f>
        <v>High</v>
      </c>
      <c r="F48" s="5" t="n">
        <f aca="false">IF(Corpus!R48="5x",Assumptions!$B$18,Assumptions!$B$20)</f>
        <v>1.82928</v>
      </c>
      <c r="G48" s="5" t="n">
        <f aca="false">Bootstrap!E48</f>
        <v>1.128</v>
      </c>
      <c r="H48" s="5" t="n">
        <f aca="false">IF(Corpus!Q48="None",1,Bootstrap!L48)</f>
        <v>1.011</v>
      </c>
      <c r="I48" s="5" t="n">
        <f aca="false">F48*G48*H48</f>
        <v>2.08612554624</v>
      </c>
      <c r="J48" s="5" t="n">
        <f aca="false">B48*I48</f>
        <v>14.9723833344069</v>
      </c>
      <c r="K48" s="5" t="n">
        <f aca="false">J48*Assumptions!$B$9</f>
        <v>5.28525131704564</v>
      </c>
      <c r="L48" s="5" t="n">
        <f aca="false">J48*Assumptions!$B$10</f>
        <v>0.772574980055396</v>
      </c>
      <c r="M48" s="5" t="n">
        <f aca="false">J48*Assumptions!$B$21</f>
        <v>2.37911171183726</v>
      </c>
    </row>
    <row r="49" s="1" customFormat="true" ht="15.75" hidden="false" customHeight="true" outlineLevel="0" collapsed="false">
      <c r="A49" s="1" t="s">
        <v>167</v>
      </c>
      <c r="B49" s="5" t="n">
        <f aca="false">Table6!L49</f>
        <v>8.34176426086957</v>
      </c>
      <c r="C49" s="4" t="n">
        <f aca="false">Corpus!E49</f>
        <v>94.7</v>
      </c>
      <c r="D49" s="4" t="n">
        <f aca="false">Corpus!F49</f>
        <v>8.4</v>
      </c>
      <c r="E49" s="1" t="str">
        <f aca="false">Corpus!Q49</f>
        <v>xHigh</v>
      </c>
      <c r="F49" s="5" t="n">
        <f aca="false">IF(Corpus!R49="5x",Assumptions!$B$18,Assumptions!$B$20)</f>
        <v>1.82928</v>
      </c>
      <c r="G49" s="5" t="n">
        <f aca="false">Bootstrap!E49</f>
        <v>1.1072</v>
      </c>
      <c r="H49" s="5" t="n">
        <f aca="false">IF(Corpus!Q49="None",1,Bootstrap!L49)</f>
        <v>1.0229</v>
      </c>
      <c r="I49" s="5" t="n">
        <f aca="false">F49*G49*H49</f>
        <v>2.0717599908864</v>
      </c>
      <c r="J49" s="5" t="n">
        <f aca="false">B49*I49</f>
        <v>17.2821334490756</v>
      </c>
      <c r="K49" s="5" t="n">
        <f aca="false">J49*Assumptions!$B$9</f>
        <v>6.1005931075237</v>
      </c>
      <c r="L49" s="5" t="n">
        <f aca="false">J49*Assumptions!$B$10</f>
        <v>0.891758085972302</v>
      </c>
      <c r="M49" s="5" t="n">
        <f aca="false">J49*Assumptions!$B$21</f>
        <v>2.74613100505812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 min="1" style="1" width="26"/>
    <col collapsed="false" customWidth="true" hidden="false" outlineLevel="0" max="2" min="2" style="1" width="10"/>
    <col collapsed="false" customWidth="true" hidden="false" outlineLevel="0" max="3" min="3" style="1" width="12"/>
    <col collapsed="false" customWidth="true" hidden="false" outlineLevel="0" max="5" min="4" style="1" width="10"/>
    <col collapsed="false" customWidth="true" hidden="false" outlineLevel="0" max="6" min="6" style="1" width="12"/>
    <col collapsed="false" customWidth="true" hidden="false" outlineLevel="0" max="7" min="7" style="1" width="10"/>
  </cols>
  <sheetData>
    <row r="1" s="1" customFormat="true" ht="15" hidden="false" customHeight="true" outlineLevel="0" collapsed="false">
      <c r="A1" s="2" t="s">
        <v>205</v>
      </c>
    </row>
    <row r="2" s="1" customFormat="true" ht="15" hidden="false" customHeight="true" outlineLevel="0" collapsed="false">
      <c r="A2" s="2" t="s">
        <v>169</v>
      </c>
      <c r="B2" s="2" t="s">
        <v>206</v>
      </c>
      <c r="C2" s="2" t="s">
        <v>207</v>
      </c>
      <c r="D2" s="2" t="s">
        <v>208</v>
      </c>
      <c r="E2" s="2" t="s">
        <v>209</v>
      </c>
      <c r="F2" s="2" t="s">
        <v>210</v>
      </c>
      <c r="G2" s="2" t="s">
        <v>211</v>
      </c>
      <c r="H2" s="2" t="s">
        <v>212</v>
      </c>
      <c r="I2" s="2" t="s">
        <v>213</v>
      </c>
      <c r="J2" s="2" t="s">
        <v>214</v>
      </c>
    </row>
    <row r="3" s="1" customFormat="true" ht="15" hidden="false" customHeight="true" outlineLevel="0" collapsed="false">
      <c r="A3" s="1" t="s">
        <v>107</v>
      </c>
      <c r="B3" s="5" t="n">
        <f aca="false">C_Low!K3</f>
        <v>0.2521903798435</v>
      </c>
      <c r="C3" s="5" t="n">
        <f aca="false">Table7!E3</f>
        <v>0.7128835</v>
      </c>
      <c r="D3" s="5" t="n">
        <f aca="false">C_High!K3</f>
        <v>1.0188436881378</v>
      </c>
      <c r="E3" s="5" t="n">
        <f aca="false">C_Low!L3</f>
        <v>0.0368640895182</v>
      </c>
      <c r="F3" s="5" t="n">
        <f aca="false">Table7!F3</f>
        <v>0.1042062</v>
      </c>
      <c r="G3" s="5" t="n">
        <f aca="false">C_High!L3</f>
        <v>0.14893012551816</v>
      </c>
      <c r="H3" s="5" t="n">
        <f aca="false">C_Low!M3</f>
        <v>0.11352139194655</v>
      </c>
      <c r="I3" s="5" t="n">
        <f aca="false">Table7!G3</f>
        <v>0.32089855</v>
      </c>
      <c r="J3" s="5" t="n">
        <f aca="false">C_High!M3</f>
        <v>0.45862397179914</v>
      </c>
    </row>
    <row r="4" s="1" customFormat="true" ht="15" hidden="false" customHeight="true" outlineLevel="0" collapsed="false">
      <c r="A4" s="1" t="s">
        <v>110</v>
      </c>
      <c r="B4" s="5" t="n">
        <f aca="false">C_Low!K4</f>
        <v>0.527151511935922</v>
      </c>
      <c r="C4" s="5" t="n">
        <f aca="false">Table7!E4</f>
        <v>2.74593857139684</v>
      </c>
      <c r="D4" s="5" t="n">
        <f aca="false">C_High!K4</f>
        <v>5.65248375077338</v>
      </c>
      <c r="E4" s="5" t="n">
        <f aca="false">C_Low!L4</f>
        <v>0.0770567082603218</v>
      </c>
      <c r="F4" s="5" t="n">
        <f aca="false">Table7!F4</f>
        <v>0.401389320918065</v>
      </c>
      <c r="G4" s="5" t="n">
        <f aca="false">C_High!L4</f>
        <v>0.826255415127214</v>
      </c>
      <c r="H4" s="5" t="n">
        <f aca="false">C_Low!M4</f>
        <v>0.23729284772413</v>
      </c>
      <c r="I4" s="5" t="n">
        <f aca="false">Table7!G4</f>
        <v>1.236061300269</v>
      </c>
      <c r="J4" s="5" t="n">
        <f aca="false">C_High!M4</f>
        <v>2.5444183229402</v>
      </c>
    </row>
    <row r="5" s="1" customFormat="true" ht="15" hidden="false" customHeight="true" outlineLevel="0" collapsed="false">
      <c r="A5" s="1" t="s">
        <v>113</v>
      </c>
      <c r="B5" s="5" t="n">
        <f aca="false">C_Low!K5</f>
        <v>1.13472941295933</v>
      </c>
      <c r="C5" s="5" t="n">
        <f aca="false">Table7!E5</f>
        <v>6.1013584656391</v>
      </c>
      <c r="D5" s="5" t="n">
        <f aca="false">C_High!K5</f>
        <v>13.0020755731965</v>
      </c>
      <c r="E5" s="5" t="n">
        <f aca="false">C_Low!L5</f>
        <v>0.165869795208786</v>
      </c>
      <c r="F5" s="5" t="n">
        <f aca="false">Table7!F5</f>
        <v>0.891869962682656</v>
      </c>
      <c r="G5" s="5" t="n">
        <f aca="false">C_High!L5</f>
        <v>1.90058668435393</v>
      </c>
      <c r="H5" s="5" t="n">
        <f aca="false">C_Low!M5</f>
        <v>0.510788962377443</v>
      </c>
      <c r="I5" s="5" t="n">
        <f aca="false">Table7!G5</f>
        <v>2.74647552461771</v>
      </c>
      <c r="J5" s="5" t="n">
        <f aca="false">C_High!M5</f>
        <v>5.85277566170232</v>
      </c>
    </row>
    <row r="6" s="1" customFormat="true" ht="15" hidden="false" customHeight="true" outlineLevel="0" collapsed="false">
      <c r="A6" s="1" t="s">
        <v>115</v>
      </c>
      <c r="B6" s="5" t="n">
        <f aca="false">C_Low!K6</f>
        <v>1.72660000684403</v>
      </c>
      <c r="C6" s="5" t="n">
        <f aca="false">Table7!E6</f>
        <v>10.0975087767273</v>
      </c>
      <c r="D6" s="5" t="n">
        <f aca="false">C_High!K6</f>
        <v>21.8306224428298</v>
      </c>
      <c r="E6" s="5" t="n">
        <f aca="false">C_Low!L6</f>
        <v>0.25238685652451</v>
      </c>
      <c r="F6" s="5" t="n">
        <f aca="false">Table7!F6</f>
        <v>1.47600978152727</v>
      </c>
      <c r="G6" s="5" t="n">
        <f aca="false">C_High!L6</f>
        <v>3.19110515028334</v>
      </c>
      <c r="H6" s="5" t="n">
        <f aca="false">C_Low!M6</f>
        <v>0.7772145639873</v>
      </c>
      <c r="I6" s="5" t="n">
        <f aca="false">Table7!G6</f>
        <v>4.54530919156364</v>
      </c>
      <c r="J6" s="5" t="n">
        <f aca="false">C_High!M6</f>
        <v>9.82687225542679</v>
      </c>
    </row>
    <row r="7" s="1" customFormat="true" ht="15" hidden="false" customHeight="true" outlineLevel="0" collapsed="false">
      <c r="A7" s="1" t="s">
        <v>117</v>
      </c>
      <c r="B7" s="5" t="n">
        <f aca="false">C_Low!K7</f>
        <v>2.70715461739429</v>
      </c>
      <c r="C7" s="5" t="n">
        <f aca="false">Table7!E7</f>
        <v>14.80313993886</v>
      </c>
      <c r="D7" s="5" t="n">
        <f aca="false">C_High!K7</f>
        <v>32.1328000393297</v>
      </c>
      <c r="E7" s="5" t="n">
        <f aca="false">C_Low!L7</f>
        <v>0.395720051721091</v>
      </c>
      <c r="F7" s="5" t="n">
        <f aca="false">Table7!F7</f>
        <v>2.163858415992</v>
      </c>
      <c r="G7" s="5" t="n">
        <f aca="false">C_High!L7</f>
        <v>4.6970325269955</v>
      </c>
      <c r="H7" s="5" t="n">
        <f aca="false">C_Low!M7</f>
        <v>1.21860302748995</v>
      </c>
      <c r="I7" s="5" t="n">
        <f aca="false">Table7!G7</f>
        <v>6.663509734518</v>
      </c>
      <c r="J7" s="5" t="n">
        <f aca="false">C_High!M7</f>
        <v>14.4643114058059</v>
      </c>
    </row>
    <row r="8" s="1" customFormat="true" ht="15" hidden="false" customHeight="true" outlineLevel="0" collapsed="false">
      <c r="A8" s="1" t="s">
        <v>119</v>
      </c>
      <c r="B8" s="5" t="n">
        <f aca="false">C_Low!K8</f>
        <v>1.85917021316589</v>
      </c>
      <c r="C8" s="5" t="n">
        <f aca="false">Table7!E8</f>
        <v>10.1191277103577</v>
      </c>
      <c r="D8" s="5" t="n">
        <f aca="false">C_High!K8</f>
        <v>22.7573098680271</v>
      </c>
      <c r="E8" s="5" t="n">
        <f aca="false">C_Low!L8</f>
        <v>0.271765390933032</v>
      </c>
      <c r="F8" s="5" t="n">
        <f aca="false">Table7!F8</f>
        <v>1.47916994293048</v>
      </c>
      <c r="G8" s="5" t="n">
        <f aca="false">C_High!L8</f>
        <v>3.32656427532634</v>
      </c>
      <c r="H8" s="5" t="n">
        <f aca="false">C_Low!M8</f>
        <v>0.836889934481758</v>
      </c>
      <c r="I8" s="5" t="n">
        <f aca="false">Table7!G8</f>
        <v>4.55504077386924</v>
      </c>
      <c r="J8" s="5" t="n">
        <f aca="false">C_High!M8</f>
        <v>10.2440128556077</v>
      </c>
    </row>
    <row r="9" s="1" customFormat="true" ht="15" hidden="false" customHeight="true" outlineLevel="0" collapsed="false">
      <c r="A9" s="1" t="s">
        <v>121</v>
      </c>
      <c r="B9" s="5" t="n">
        <f aca="false">C_Low!K9</f>
        <v>0.533744710251812</v>
      </c>
      <c r="C9" s="5" t="n">
        <f aca="false">Table7!E9</f>
        <v>2.7677967888806</v>
      </c>
      <c r="D9" s="5" t="n">
        <f aca="false">C_High!K9</f>
        <v>5.59520452504066</v>
      </c>
      <c r="E9" s="5" t="n">
        <f aca="false">C_Low!L9</f>
        <v>0.0780204732266105</v>
      </c>
      <c r="F9" s="5" t="n">
        <f aca="false">Table7!F9</f>
        <v>0.404584459791045</v>
      </c>
      <c r="G9" s="5" t="n">
        <f aca="false">C_High!L9</f>
        <v>0.817882587796312</v>
      </c>
      <c r="H9" s="5" t="n">
        <f aca="false">C_Low!M9</f>
        <v>0.240260720847062</v>
      </c>
      <c r="I9" s="5" t="n">
        <f aca="false">Table7!G9</f>
        <v>1.24590059420149</v>
      </c>
      <c r="J9" s="5" t="n">
        <f aca="false">C_High!M9</f>
        <v>2.5186345581557</v>
      </c>
    </row>
    <row r="10" s="1" customFormat="true" ht="15" hidden="false" customHeight="true" outlineLevel="0" collapsed="false">
      <c r="A10" s="1" t="s">
        <v>123</v>
      </c>
      <c r="B10" s="5" t="n">
        <f aca="false">C_Low!K10</f>
        <v>0.922240063415966</v>
      </c>
      <c r="C10" s="5" t="n">
        <f aca="false">Table7!E10</f>
        <v>4.84477497717825</v>
      </c>
      <c r="D10" s="5" t="n">
        <f aca="false">C_High!K10</f>
        <v>10.2223860054769</v>
      </c>
      <c r="E10" s="5" t="n">
        <f aca="false">C_Low!L10</f>
        <v>0.134809029099898</v>
      </c>
      <c r="F10" s="5" t="n">
        <f aca="false">Table7!F10</f>
        <v>0.708188070318408</v>
      </c>
      <c r="G10" s="5" t="n">
        <f aca="false">C_High!L10</f>
        <v>1.49426379003572</v>
      </c>
      <c r="H10" s="5" t="n">
        <f aca="false">C_Low!M10</f>
        <v>0.415138657441351</v>
      </c>
      <c r="I10" s="5" t="n">
        <f aca="false">Table7!G10</f>
        <v>2.18083496848052</v>
      </c>
      <c r="J10" s="5" t="n">
        <f aca="false">C_High!M10</f>
        <v>4.60152163249372</v>
      </c>
    </row>
    <row r="11" s="1" customFormat="true" ht="15" hidden="false" customHeight="true" outlineLevel="0" collapsed="false">
      <c r="A11" s="1" t="s">
        <v>124</v>
      </c>
      <c r="B11" s="5" t="n">
        <f aca="false">C_Low!K11</f>
        <v>1.01862079103226</v>
      </c>
      <c r="C11" s="5" t="n">
        <f aca="false">Table7!E11</f>
        <v>5.31485962824299</v>
      </c>
      <c r="D11" s="5" t="n">
        <f aca="false">C_High!K11</f>
        <v>11.0062687825601</v>
      </c>
      <c r="E11" s="5" t="n">
        <f aca="false">C_Low!L11</f>
        <v>0.148897543391684</v>
      </c>
      <c r="F11" s="5" t="n">
        <f aca="false">Table7!F11</f>
        <v>0.776902993816823</v>
      </c>
      <c r="G11" s="5" t="n">
        <f aca="false">C_High!L11</f>
        <v>1.60884835461785</v>
      </c>
      <c r="H11" s="5" t="n">
        <f aca="false">C_Low!M11</f>
        <v>0.458523636529818</v>
      </c>
      <c r="I11" s="5" t="n">
        <f aca="false">Table7!G11</f>
        <v>2.39243964568785</v>
      </c>
      <c r="J11" s="5" t="n">
        <f aca="false">C_High!M11</f>
        <v>4.95437991373596</v>
      </c>
    </row>
    <row r="12" s="1" customFormat="true" ht="15" hidden="false" customHeight="true" outlineLevel="0" collapsed="false">
      <c r="A12" s="1" t="s">
        <v>125</v>
      </c>
      <c r="B12" s="5" t="n">
        <f aca="false">C_Low!K12</f>
        <v>1.11481772185655</v>
      </c>
      <c r="C12" s="5" t="n">
        <f aca="false">Table7!E12</f>
        <v>5.93454610492354</v>
      </c>
      <c r="D12" s="5" t="n">
        <f aca="false">C_High!K12</f>
        <v>12.0456257925373</v>
      </c>
      <c r="E12" s="5" t="n">
        <f aca="false">C_Low!L12</f>
        <v>0.162959191070249</v>
      </c>
      <c r="F12" s="5" t="n">
        <f aca="false">Table7!F12</f>
        <v>0.8674860595299</v>
      </c>
      <c r="G12" s="5" t="n">
        <f aca="false">C_High!L12</f>
        <v>1.76077702803095</v>
      </c>
      <c r="H12" s="5" t="n">
        <f aca="false">C_Low!M12</f>
        <v>0.501825881028343</v>
      </c>
      <c r="I12" s="5" t="n">
        <f aca="false">Table7!G12</f>
        <v>2.67138633448258</v>
      </c>
      <c r="J12" s="5" t="n">
        <f aca="false">C_High!M12</f>
        <v>5.42223778593252</v>
      </c>
    </row>
    <row r="13" s="1" customFormat="true" ht="15" hidden="false" customHeight="true" outlineLevel="0" collapsed="false">
      <c r="A13" s="1" t="s">
        <v>126</v>
      </c>
      <c r="B13" s="5" t="n">
        <f aca="false">C_Low!K13</f>
        <v>1.63704990259855</v>
      </c>
      <c r="C13" s="5" t="n">
        <f aca="false">Table7!E13</f>
        <v>9.04886397221401</v>
      </c>
      <c r="D13" s="5" t="n">
        <f aca="false">C_High!K13</f>
        <v>18.9014637904025</v>
      </c>
      <c r="E13" s="5" t="n">
        <f aca="false">C_Low!L13</f>
        <v>0.239296812957749</v>
      </c>
      <c r="F13" s="5" t="n">
        <f aca="false">Table7!F13</f>
        <v>1.32272345882788</v>
      </c>
      <c r="G13" s="5" t="n">
        <f aca="false">C_High!L13</f>
        <v>2.7629335172373</v>
      </c>
      <c r="H13" s="5" t="n">
        <f aca="false">C_Low!M13</f>
        <v>0.736904332926091</v>
      </c>
      <c r="I13" s="5" t="n">
        <f aca="false">Table7!G13</f>
        <v>4.07327049627424</v>
      </c>
      <c r="J13" s="5" t="n">
        <f aca="false">C_High!M13</f>
        <v>8.50833596684122</v>
      </c>
    </row>
    <row r="14" s="1" customFormat="true" ht="15" hidden="false" customHeight="true" outlineLevel="0" collapsed="false">
      <c r="A14" s="1" t="s">
        <v>127</v>
      </c>
      <c r="B14" s="5" t="n">
        <f aca="false">C_Low!K14</f>
        <v>0.205710180268298</v>
      </c>
      <c r="C14" s="5" t="n">
        <f aca="false">Table7!E14</f>
        <v>1.06589696238025</v>
      </c>
      <c r="D14" s="5" t="n">
        <f aca="false">C_High!K14</f>
        <v>2.17210393081205</v>
      </c>
      <c r="E14" s="5" t="n">
        <f aca="false">C_Low!L14</f>
        <v>0.0300698167191053</v>
      </c>
      <c r="F14" s="5" t="n">
        <f aca="false">Table7!F14</f>
        <v>0.155808167872014</v>
      </c>
      <c r="G14" s="5" t="n">
        <f aca="false">C_High!L14</f>
        <v>0.317508676571959</v>
      </c>
      <c r="H14" s="5" t="n">
        <f aca="false">C_Low!M14</f>
        <v>0.0925987185400355</v>
      </c>
      <c r="I14" s="5" t="n">
        <f aca="false">Table7!G14</f>
        <v>0.479804609977967</v>
      </c>
      <c r="J14" s="5" t="n">
        <f aca="false">C_High!M14</f>
        <v>0.977754432311711</v>
      </c>
    </row>
    <row r="15" s="1" customFormat="true" ht="15" hidden="false" customHeight="true" outlineLevel="0" collapsed="false">
      <c r="A15" s="1" t="s">
        <v>129</v>
      </c>
      <c r="B15" s="5" t="n">
        <f aca="false">C_Low!K15</f>
        <v>0.337852992033135</v>
      </c>
      <c r="C15" s="5" t="n">
        <f aca="false">Table7!E15</f>
        <v>1.75544532341344</v>
      </c>
      <c r="D15" s="5" t="n">
        <f aca="false">C_High!K15</f>
        <v>3.69389604236654</v>
      </c>
      <c r="E15" s="5" t="n">
        <f aca="false">C_Low!L15</f>
        <v>0.049385876455835</v>
      </c>
      <c r="F15" s="5" t="n">
        <f aca="false">Table7!F15</f>
        <v>0.256603339059868</v>
      </c>
      <c r="G15" s="5" t="n">
        <f aca="false">C_High!L15</f>
        <v>0.539957608459245</v>
      </c>
      <c r="H15" s="5" t="n">
        <f aca="false">C_Low!M15</f>
        <v>0.15208170094636</v>
      </c>
      <c r="I15" s="5" t="n">
        <f aca="false">Table7!G15</f>
        <v>0.790199042182423</v>
      </c>
      <c r="J15" s="5" t="n">
        <f aca="false">C_High!M15</f>
        <v>1.66277643380182</v>
      </c>
    </row>
    <row r="16" s="1" customFormat="true" ht="15" hidden="false" customHeight="true" outlineLevel="0" collapsed="false">
      <c r="A16" s="1" t="s">
        <v>130</v>
      </c>
      <c r="B16" s="5" t="n">
        <f aca="false">C_Low!K16</f>
        <v>0.375525333300207</v>
      </c>
      <c r="C16" s="5" t="n">
        <f aca="false">Table7!E16</f>
        <v>1.95784364010375</v>
      </c>
      <c r="D16" s="5" t="n">
        <f aca="false">C_High!K16</f>
        <v>4.04119685798491</v>
      </c>
      <c r="E16" s="5" t="n">
        <f aca="false">C_Low!L16</f>
        <v>0.0548926549526647</v>
      </c>
      <c r="F16" s="5" t="n">
        <f aca="false">Table7!F16</f>
        <v>0.2861890420095</v>
      </c>
      <c r="G16" s="5" t="n">
        <f aca="false">C_High!L16</f>
        <v>0.590724526549635</v>
      </c>
      <c r="H16" s="5" t="n">
        <f aca="false">C_Low!M16</f>
        <v>0.169039590542218</v>
      </c>
      <c r="I16" s="5" t="n">
        <f aca="false">Table7!G16</f>
        <v>0.881306953009875</v>
      </c>
      <c r="J16" s="5" t="n">
        <f aca="false">C_High!M16</f>
        <v>1.81911099358017</v>
      </c>
    </row>
    <row r="17" s="1" customFormat="true" ht="15" hidden="false" customHeight="true" outlineLevel="0" collapsed="false">
      <c r="A17" s="1" t="s">
        <v>131</v>
      </c>
      <c r="B17" s="5" t="n">
        <f aca="false">C_Low!K17</f>
        <v>0.38460985013589</v>
      </c>
      <c r="C17" s="5" t="n">
        <f aca="false">Table7!E17</f>
        <v>2.0879491226768</v>
      </c>
      <c r="D17" s="5" t="n">
        <f aca="false">C_High!K17</f>
        <v>4.33667135911628</v>
      </c>
      <c r="E17" s="5" t="n">
        <f aca="false">C_Low!L17</f>
        <v>0.0562205899915352</v>
      </c>
      <c r="F17" s="5" t="n">
        <f aca="false">Table7!F17</f>
        <v>0.305207293853039</v>
      </c>
      <c r="G17" s="5" t="n">
        <f aca="false">C_High!L17</f>
        <v>0.63391570008612</v>
      </c>
      <c r="H17" s="5" t="n">
        <f aca="false">C_Low!M17</f>
        <v>0.173128909877034</v>
      </c>
      <c r="I17" s="5" t="n">
        <f aca="false">Table7!G17</f>
        <v>0.939872848706354</v>
      </c>
      <c r="J17" s="5" t="n">
        <f aca="false">C_High!M17</f>
        <v>1.95211637100164</v>
      </c>
    </row>
    <row r="18" s="1" customFormat="true" ht="15" hidden="false" customHeight="true" outlineLevel="0" collapsed="false">
      <c r="A18" s="1" t="s">
        <v>132</v>
      </c>
      <c r="B18" s="5" t="n">
        <f aca="false">C_Low!K18</f>
        <v>0.747400004904971</v>
      </c>
      <c r="C18" s="5" t="n">
        <f aca="false">Table7!E18</f>
        <v>4.00027946859591</v>
      </c>
      <c r="D18" s="5" t="n">
        <f aca="false">C_High!K18</f>
        <v>8.54511000676132</v>
      </c>
      <c r="E18" s="5" t="n">
        <f aca="false">C_Low!L18</f>
        <v>0.109251672105089</v>
      </c>
      <c r="F18" s="5" t="n">
        <f aca="false">Table7!F18</f>
        <v>0.584743401075209</v>
      </c>
      <c r="G18" s="5" t="n">
        <f aca="false">C_High!L18</f>
        <v>1.2490869018382</v>
      </c>
      <c r="H18" s="5" t="n">
        <f aca="false">C_Low!M18</f>
        <v>0.336435866230594</v>
      </c>
      <c r="I18" s="5" t="n">
        <f aca="false">Table7!G18</f>
        <v>1.80069237269091</v>
      </c>
      <c r="J18" s="5" t="n">
        <f aca="false">C_High!M18</f>
        <v>3.84650985856763</v>
      </c>
    </row>
    <row r="19" s="1" customFormat="true" ht="15" hidden="false" customHeight="true" outlineLevel="0" collapsed="false">
      <c r="A19" s="1" t="s">
        <v>133</v>
      </c>
      <c r="B19" s="5" t="n">
        <f aca="false">C_Low!K19</f>
        <v>0.223326320704368</v>
      </c>
      <c r="C19" s="5" t="n">
        <f aca="false">Table7!E19</f>
        <v>1.14777626277079</v>
      </c>
      <c r="D19" s="5" t="n">
        <f aca="false">C_High!K19</f>
        <v>2.33203034269046</v>
      </c>
      <c r="E19" s="5" t="n">
        <f aca="false">C_Low!L19</f>
        <v>0.0326448672757659</v>
      </c>
      <c r="F19" s="5" t="n">
        <f aca="false">Table7!F19</f>
        <v>0.167776926795956</v>
      </c>
      <c r="G19" s="5" t="n">
        <f aca="false">C_High!L19</f>
        <v>0.340886021764385</v>
      </c>
      <c r="H19" s="5" t="n">
        <f aca="false">C_Low!M19</f>
        <v>0.100528476940295</v>
      </c>
      <c r="I19" s="5" t="n">
        <f aca="false">Table7!G19</f>
        <v>0.516661892788323</v>
      </c>
      <c r="J19" s="5" t="n">
        <f aca="false">C_High!M19</f>
        <v>1.04974397012327</v>
      </c>
    </row>
    <row r="20" s="1" customFormat="true" ht="15" hidden="false" customHeight="true" outlineLevel="0" collapsed="false">
      <c r="A20" s="1" t="s">
        <v>135</v>
      </c>
      <c r="B20" s="5" t="n">
        <f aca="false">C_Low!K20</f>
        <v>0.331801210843911</v>
      </c>
      <c r="C20" s="5" t="n">
        <f aca="false">Table7!E20</f>
        <v>1.73350642507271</v>
      </c>
      <c r="D20" s="5" t="n">
        <f aca="false">C_High!K20</f>
        <v>3.58823381070218</v>
      </c>
      <c r="E20" s="5" t="n">
        <f aca="false">C_Low!L20</f>
        <v>0.0485012534831326</v>
      </c>
      <c r="F20" s="5" t="n">
        <f aca="false">Table7!F20</f>
        <v>0.253396406611195</v>
      </c>
      <c r="G20" s="5" t="n">
        <f aca="false">C_High!L20</f>
        <v>0.524512364397259</v>
      </c>
      <c r="H20" s="5" t="n">
        <f aca="false">C_Low!M20</f>
        <v>0.149357542218406</v>
      </c>
      <c r="I20" s="5" t="n">
        <f aca="false">Table7!G20</f>
        <v>0.780323430436411</v>
      </c>
      <c r="J20" s="5" t="n">
        <f aca="false">C_High!M20</f>
        <v>1.61521346323109</v>
      </c>
    </row>
    <row r="21" s="1" customFormat="true" ht="15.75" hidden="false" customHeight="true" outlineLevel="0" collapsed="false">
      <c r="A21" s="1" t="s">
        <v>136</v>
      </c>
      <c r="B21" s="5" t="n">
        <f aca="false">C_Low!K21</f>
        <v>0.381566503199862</v>
      </c>
      <c r="C21" s="5" t="n">
        <f aca="false">Table7!E21</f>
        <v>1.9819377404328</v>
      </c>
      <c r="D21" s="5" t="n">
        <f aca="false">C_High!K21</f>
        <v>4.41104317422657</v>
      </c>
      <c r="E21" s="5" t="n">
        <f aca="false">C_Low!L21</f>
        <v>0.0557757268133509</v>
      </c>
      <c r="F21" s="5" t="n">
        <f aca="false">Table7!F21</f>
        <v>0.289711012482529</v>
      </c>
      <c r="G21" s="5" t="n">
        <f aca="false">C_High!L21</f>
        <v>0.644787047563997</v>
      </c>
      <c r="H21" s="5" t="n">
        <f aca="false">C_Low!M21</f>
        <v>0.17175897268685</v>
      </c>
      <c r="I21" s="5" t="n">
        <f aca="false">Table7!G21</f>
        <v>0.892152710920035</v>
      </c>
      <c r="J21" s="5" t="n">
        <f aca="false">C_High!M21</f>
        <v>1.9855942220527</v>
      </c>
    </row>
    <row r="22" s="1" customFormat="true" ht="15.75" hidden="false" customHeight="true" outlineLevel="0" collapsed="false">
      <c r="A22" s="1" t="s">
        <v>137</v>
      </c>
      <c r="B22" s="5" t="n">
        <f aca="false">C_Low!K22</f>
        <v>0.639091950822107</v>
      </c>
      <c r="C22" s="5" t="n">
        <f aca="false">Table7!E22</f>
        <v>3.40919279752383</v>
      </c>
      <c r="D22" s="5" t="n">
        <f aca="false">C_High!K22</f>
        <v>7.16634665219874</v>
      </c>
      <c r="E22" s="5" t="n">
        <f aca="false">C_Low!L22</f>
        <v>0.0934196732646479</v>
      </c>
      <c r="F22" s="5" t="n">
        <f aca="false">Table7!F22</f>
        <v>0.498340930176288</v>
      </c>
      <c r="G22" s="5" t="n">
        <f aca="false">C_High!L22</f>
        <v>1.04754528966984</v>
      </c>
      <c r="H22" s="5" t="n">
        <f aca="false">C_Low!M22</f>
        <v>0.287681900809158</v>
      </c>
      <c r="I22" s="5" t="n">
        <f aca="false">Table7!G22</f>
        <v>1.53461964738396</v>
      </c>
      <c r="J22" s="5" t="n">
        <f aca="false">C_High!M22</f>
        <v>3.22587105675462</v>
      </c>
    </row>
    <row r="23" s="1" customFormat="true" ht="15.75" hidden="false" customHeight="true" outlineLevel="0" collapsed="false">
      <c r="A23" s="1" t="s">
        <v>138</v>
      </c>
      <c r="B23" s="5" t="n">
        <f aca="false">C_Low!K23</f>
        <v>2.06782784543762</v>
      </c>
      <c r="C23" s="5" t="n">
        <f aca="false">Table7!E23</f>
        <v>14.2993404318497</v>
      </c>
      <c r="D23" s="5" t="n">
        <f aca="false">C_High!K23</f>
        <v>39.0813161249998</v>
      </c>
      <c r="E23" s="5" t="n">
        <f aca="false">C_Low!L23</f>
        <v>0.302266053327425</v>
      </c>
      <c r="F23" s="5" t="n">
        <f aca="false">Table7!F23</f>
        <v>2.09021520193611</v>
      </c>
      <c r="G23" s="5" t="n">
        <f aca="false">C_High!L23</f>
        <v>5.71273629475918</v>
      </c>
      <c r="H23" s="5" t="n">
        <f aca="false">C_Low!M23</f>
        <v>0.930815423909454</v>
      </c>
      <c r="I23" s="5" t="n">
        <f aca="false">Table7!G23</f>
        <v>6.43672859665984</v>
      </c>
      <c r="J23" s="5" t="n">
        <f aca="false">C_High!M23</f>
        <v>17.5921278534348</v>
      </c>
    </row>
    <row r="24" s="1" customFormat="true" ht="15.75" hidden="false" customHeight="true" outlineLevel="0" collapsed="false">
      <c r="A24" s="1" t="s">
        <v>139</v>
      </c>
      <c r="B24" s="5" t="n">
        <f aca="false">C_Low!K24</f>
        <v>0.375596406381796</v>
      </c>
      <c r="C24" s="5" t="n">
        <f aca="false">Table7!E24</f>
        <v>1.94203102594252</v>
      </c>
      <c r="D24" s="5" t="n">
        <f aca="false">C_High!K24</f>
        <v>4.00937239618264</v>
      </c>
      <c r="E24" s="5" t="n">
        <f aca="false">C_Low!L24</f>
        <v>0.0549030441056676</v>
      </c>
      <c r="F24" s="5" t="n">
        <f aca="false">Table7!F24</f>
        <v>0.28387762305562</v>
      </c>
      <c r="G24" s="5" t="n">
        <f aca="false">C_High!L24</f>
        <v>0.586072565560975</v>
      </c>
      <c r="H24" s="5" t="n">
        <f aca="false">C_Low!M24</f>
        <v>0.169071583495942</v>
      </c>
      <c r="I24" s="5" t="n">
        <f aca="false">Table7!G24</f>
        <v>0.874189036890272</v>
      </c>
      <c r="J24" s="5" t="n">
        <f aca="false">C_High!M24</f>
        <v>1.80478547805502</v>
      </c>
    </row>
    <row r="25" s="1" customFormat="true" ht="15.75" hidden="false" customHeight="true" outlineLevel="0" collapsed="false">
      <c r="A25" s="1" t="s">
        <v>141</v>
      </c>
      <c r="B25" s="5" t="n">
        <f aca="false">C_Low!K25</f>
        <v>0.472541476578478</v>
      </c>
      <c r="C25" s="5" t="n">
        <f aca="false">Table7!E25</f>
        <v>2.45840150135106</v>
      </c>
      <c r="D25" s="5" t="n">
        <f aca="false">C_High!K25</f>
        <v>5.04376231224504</v>
      </c>
      <c r="E25" s="5" t="n">
        <f aca="false">C_Low!L25</f>
        <v>0.0690740515338512</v>
      </c>
      <c r="F25" s="5" t="n">
        <f aca="false">Table7!F25</f>
        <v>0.359358406429787</v>
      </c>
      <c r="G25" s="5" t="n">
        <f aca="false">C_High!L25</f>
        <v>0.737275170855083</v>
      </c>
      <c r="H25" s="5" t="n">
        <f aca="false">C_Low!M25</f>
        <v>0.212710596680794</v>
      </c>
      <c r="I25" s="5" t="n">
        <f aca="false">Table7!G25</f>
        <v>1.10662889111809</v>
      </c>
      <c r="J25" s="5" t="n">
        <f aca="false">C_High!M25</f>
        <v>2.27040745443552</v>
      </c>
    </row>
    <row r="26" s="1" customFormat="true" ht="15.75" hidden="false" customHeight="true" outlineLevel="0" collapsed="false">
      <c r="A26" s="1" t="s">
        <v>142</v>
      </c>
      <c r="B26" s="5" t="n">
        <f aca="false">C_Low!K26</f>
        <v>0.573085567640943</v>
      </c>
      <c r="C26" s="5" t="n">
        <f aca="false">Table7!E26</f>
        <v>3.0989045745</v>
      </c>
      <c r="D26" s="5" t="n">
        <f aca="false">C_High!K26</f>
        <v>6.45411072195094</v>
      </c>
      <c r="E26" s="5" t="n">
        <f aca="false">C_Low!L26</f>
        <v>0.083771148131084</v>
      </c>
      <c r="F26" s="5" t="n">
        <f aca="false">Table7!F26</f>
        <v>0.4529843514</v>
      </c>
      <c r="G26" s="5" t="n">
        <f aca="false">C_High!L26</f>
        <v>0.943433748591128</v>
      </c>
      <c r="H26" s="5" t="n">
        <f aca="false">C_Low!M26</f>
        <v>0.257969679031575</v>
      </c>
      <c r="I26" s="5" t="n">
        <f aca="false">Table7!G26</f>
        <v>1.39494599685</v>
      </c>
      <c r="J26" s="5" t="n">
        <f aca="false">C_High!M26</f>
        <v>2.90526400486687</v>
      </c>
    </row>
    <row r="27" s="1" customFormat="true" ht="15.75" hidden="false" customHeight="true" outlineLevel="0" collapsed="false">
      <c r="A27" s="1" t="s">
        <v>143</v>
      </c>
      <c r="B27" s="5" t="n">
        <f aca="false">C_Low!K27</f>
        <v>0.745694136030874</v>
      </c>
      <c r="C27" s="5" t="n">
        <f aca="false">Table7!E27</f>
        <v>3.98800827645161</v>
      </c>
      <c r="D27" s="5" t="n">
        <f aca="false">C_High!K27</f>
        <v>8.58239663465676</v>
      </c>
      <c r="E27" s="5" t="n">
        <f aca="false">C_Low!L27</f>
        <v>0.109002315635108</v>
      </c>
      <c r="F27" s="5" t="n">
        <f aca="false">Table7!F27</f>
        <v>0.582949651741936</v>
      </c>
      <c r="G27" s="5" t="n">
        <f aca="false">C_High!L27</f>
        <v>1.25453729843708</v>
      </c>
      <c r="H27" s="5" t="n">
        <f aca="false">C_Low!M27</f>
        <v>0.335667983612765</v>
      </c>
      <c r="I27" s="5" t="n">
        <f aca="false">Table7!G27</f>
        <v>1.79516859809677</v>
      </c>
      <c r="J27" s="5" t="n">
        <f aca="false">C_High!M27</f>
        <v>3.86329412251263</v>
      </c>
    </row>
    <row r="28" s="1" customFormat="true" ht="15.75" hidden="false" customHeight="true" outlineLevel="0" collapsed="false">
      <c r="A28" s="1" t="s">
        <v>144</v>
      </c>
      <c r="B28" s="5" t="n">
        <f aca="false">C_Low!K28</f>
        <v>1.26278052788483</v>
      </c>
      <c r="C28" s="5" t="n">
        <f aca="false">Table7!E28</f>
        <v>6.8225492788709</v>
      </c>
      <c r="D28" s="5" t="n">
        <f aca="false">C_High!K28</f>
        <v>15.3291800857922</v>
      </c>
      <c r="E28" s="5" t="n">
        <f aca="false">C_Low!L28</f>
        <v>0.184587748552004</v>
      </c>
      <c r="F28" s="5" t="n">
        <f aca="false">Table7!F28</f>
        <v>0.997290489489344</v>
      </c>
      <c r="G28" s="5" t="n">
        <f aca="false">C_High!L28</f>
        <v>2.24075266976452</v>
      </c>
      <c r="H28" s="5" t="n">
        <f aca="false">C_Low!M28</f>
        <v>0.568430101645609</v>
      </c>
      <c r="I28" s="5" t="n">
        <f aca="false">Table7!G28</f>
        <v>3.07111354224529</v>
      </c>
      <c r="J28" s="5" t="n">
        <f aca="false">C_High!M28</f>
        <v>6.90030231057331</v>
      </c>
    </row>
    <row r="29" s="1" customFormat="true" ht="15.75" hidden="false" customHeight="true" outlineLevel="0" collapsed="false">
      <c r="A29" s="1" t="s">
        <v>145</v>
      </c>
      <c r="B29" s="5" t="n">
        <f aca="false">C_Low!K29</f>
        <v>0.874043973931481</v>
      </c>
      <c r="C29" s="5" t="n">
        <f aca="false">Table7!E29</f>
        <v>4.76612943039153</v>
      </c>
      <c r="D29" s="5" t="n">
        <f aca="false">C_High!K29</f>
        <v>10.7148618347432</v>
      </c>
      <c r="E29" s="5" t="n">
        <f aca="false">C_Low!L29</f>
        <v>0.127763934999616</v>
      </c>
      <c r="F29" s="5" t="n">
        <f aca="false">Table7!F29</f>
        <v>0.696692007388677</v>
      </c>
      <c r="G29" s="5" t="n">
        <f aca="false">C_High!L29</f>
        <v>1.56625175827975</v>
      </c>
      <c r="H29" s="5" t="n">
        <f aca="false">C_Low!M29</f>
        <v>0.393443590531763</v>
      </c>
      <c r="I29" s="5" t="n">
        <f aca="false">Table7!G29</f>
        <v>2.14543333283064</v>
      </c>
      <c r="J29" s="5" t="n">
        <f aca="false">C_High!M29</f>
        <v>4.82320551144674</v>
      </c>
    </row>
    <row r="30" s="1" customFormat="true" ht="15.75" hidden="false" customHeight="true" outlineLevel="0" collapsed="false">
      <c r="A30" s="1" t="s">
        <v>147</v>
      </c>
      <c r="B30" s="5" t="n">
        <f aca="false">C_Low!K30</f>
        <v>0.746842092419375</v>
      </c>
      <c r="C30" s="5" t="n">
        <f aca="false">Table7!E30</f>
        <v>3.94269000058284</v>
      </c>
      <c r="D30" s="5" t="n">
        <f aca="false">C_High!K30</f>
        <v>8.16853364902337</v>
      </c>
      <c r="E30" s="5" t="n">
        <f aca="false">C_Low!L30</f>
        <v>0.109170118891897</v>
      </c>
      <c r="F30" s="5" t="n">
        <f aca="false">Table7!F30</f>
        <v>0.576325223881232</v>
      </c>
      <c r="G30" s="5" t="n">
        <f aca="false">C_High!L30</f>
        <v>1.19404061271843</v>
      </c>
      <c r="H30" s="5" t="n">
        <f aca="false">C_Low!M30</f>
        <v>0.336184726587645</v>
      </c>
      <c r="I30" s="5" t="n">
        <f aca="false">Table7!G30</f>
        <v>1.77476895493658</v>
      </c>
      <c r="J30" s="5" t="n">
        <f aca="false">C_High!M30</f>
        <v>3.67699715815811</v>
      </c>
    </row>
    <row r="31" s="1" customFormat="true" ht="15.75" hidden="false" customHeight="true" outlineLevel="0" collapsed="false">
      <c r="A31" s="1" t="s">
        <v>148</v>
      </c>
      <c r="B31" s="5" t="n">
        <f aca="false">C_Low!K31</f>
        <v>0.861337163799328</v>
      </c>
      <c r="C31" s="5" t="n">
        <f aca="false">Table7!E31</f>
        <v>4.6322527075785</v>
      </c>
      <c r="D31" s="5" t="n">
        <f aca="false">C_High!K31</f>
        <v>10.8391888808563</v>
      </c>
      <c r="E31" s="5" t="n">
        <f aca="false">C_Low!L31</f>
        <v>0.125906508929307</v>
      </c>
      <c r="F31" s="5" t="n">
        <f aca="false">Table7!F31</f>
        <v>0.677122492099294</v>
      </c>
      <c r="G31" s="5" t="n">
        <f aca="false">C_High!L31</f>
        <v>1.58442534349061</v>
      </c>
      <c r="H31" s="5" t="n">
        <f aca="false">C_Low!M31</f>
        <v>0.387723726140831</v>
      </c>
      <c r="I31" s="5" t="n">
        <f aca="false">Table7!G31</f>
        <v>2.08516984485616</v>
      </c>
      <c r="J31" s="5" t="n">
        <f aca="false">C_High!M31</f>
        <v>4.87917029226083</v>
      </c>
    </row>
    <row r="32" s="1" customFormat="true" ht="15.75" hidden="false" customHeight="true" outlineLevel="0" collapsed="false">
      <c r="A32" s="1" t="s">
        <v>149</v>
      </c>
      <c r="B32" s="5" t="n">
        <f aca="false">C_Low!K32</f>
        <v>1.23506030789476</v>
      </c>
      <c r="C32" s="5" t="n">
        <f aca="false">Table7!E32</f>
        <v>6.57252545432699</v>
      </c>
      <c r="D32" s="5" t="n">
        <f aca="false">C_High!K32</f>
        <v>13.5225466120918</v>
      </c>
      <c r="E32" s="5" t="n">
        <f aca="false">C_Low!L32</f>
        <v>0.18053572772626</v>
      </c>
      <c r="F32" s="5" t="n">
        <f aca="false">Table7!F32</f>
        <v>0.960743097573011</v>
      </c>
      <c r="G32" s="5" t="n">
        <f aca="false">C_High!L32</f>
        <v>1.97666687020945</v>
      </c>
      <c r="H32" s="5" t="n">
        <f aca="false">C_Low!M32</f>
        <v>0.555952076273308</v>
      </c>
      <c r="I32" s="5" t="n">
        <f aca="false">Table7!G32</f>
        <v>2.95856740706107</v>
      </c>
      <c r="J32" s="5" t="n">
        <f aca="false">C_High!M32</f>
        <v>6.08706135031553</v>
      </c>
    </row>
    <row r="33" s="1" customFormat="true" ht="15.75" hidden="false" customHeight="true" outlineLevel="0" collapsed="false">
      <c r="A33" s="1" t="s">
        <v>150</v>
      </c>
      <c r="B33" s="5" t="n">
        <f aca="false">C_Low!K33</f>
        <v>1.28060721793178</v>
      </c>
      <c r="C33" s="5" t="n">
        <f aca="false">Table7!E33</f>
        <v>6.85310365663445</v>
      </c>
      <c r="D33" s="5" t="n">
        <f aca="false">C_High!K33</f>
        <v>15.2765680478593</v>
      </c>
      <c r="E33" s="5" t="n">
        <f aca="false">C_Low!L33</f>
        <v>0.187193576332238</v>
      </c>
      <c r="F33" s="5" t="n">
        <f aca="false">Table7!F33</f>
        <v>1.0017567951341</v>
      </c>
      <c r="G33" s="5" t="n">
        <f aca="false">C_High!L33</f>
        <v>2.23306207158509</v>
      </c>
      <c r="H33" s="5" t="n">
        <f aca="false">C_Low!M33</f>
        <v>0.576454637193656</v>
      </c>
      <c r="I33" s="5" t="n">
        <f aca="false">Table7!G33</f>
        <v>3.08486734005443</v>
      </c>
      <c r="J33" s="5" t="n">
        <f aca="false">C_High!M33</f>
        <v>6.87661944137348</v>
      </c>
    </row>
    <row r="34" s="1" customFormat="true" ht="15.75" hidden="false" customHeight="true" outlineLevel="0" collapsed="false">
      <c r="A34" s="1" t="s">
        <v>151</v>
      </c>
      <c r="B34" s="5" t="n">
        <f aca="false">C_Low!K34</f>
        <v>0.386838336372098</v>
      </c>
      <c r="C34" s="5" t="n">
        <f aca="false">Table7!E34</f>
        <v>2.05571234943187</v>
      </c>
      <c r="D34" s="5" t="n">
        <f aca="false">C_High!K34</f>
        <v>4.27971417530285</v>
      </c>
      <c r="E34" s="5" t="n">
        <f aca="false">C_Low!L34</f>
        <v>0.0565463403875362</v>
      </c>
      <c r="F34" s="5" t="n">
        <f aca="false">Table7!F34</f>
        <v>0.300495062976443</v>
      </c>
      <c r="G34" s="5" t="n">
        <f aca="false">C_High!L34</f>
        <v>0.625589947438037</v>
      </c>
      <c r="H34" s="5" t="n">
        <f aca="false">C_Low!M34</f>
        <v>0.174132044332936</v>
      </c>
      <c r="I34" s="5" t="n">
        <f aca="false">Table7!G34</f>
        <v>0.925361734630947</v>
      </c>
      <c r="J34" s="5" t="n">
        <f aca="false">C_High!M34</f>
        <v>1.92647757069582</v>
      </c>
    </row>
    <row r="35" s="1" customFormat="true" ht="15.75" hidden="false" customHeight="true" outlineLevel="0" collapsed="false">
      <c r="A35" s="1" t="s">
        <v>152</v>
      </c>
      <c r="B35" s="5" t="n">
        <f aca="false">C_Low!K35</f>
        <v>0.344876412560691</v>
      </c>
      <c r="C35" s="5" t="n">
        <f aca="false">Table7!E35</f>
        <v>1.81012020711706</v>
      </c>
      <c r="D35" s="5" t="n">
        <f aca="false">C_High!K35</f>
        <v>3.75936632905093</v>
      </c>
      <c r="E35" s="5" t="n">
        <f aca="false">C_Low!L35</f>
        <v>0.050412529428135</v>
      </c>
      <c r="F35" s="5" t="n">
        <f aca="false">Table7!F35</f>
        <v>0.264595475034676</v>
      </c>
      <c r="G35" s="5" t="n">
        <f aca="false">C_High!L35</f>
        <v>0.549527769345688</v>
      </c>
      <c r="H35" s="5" t="n">
        <f aca="false">C_Low!M35</f>
        <v>0.155243235002532</v>
      </c>
      <c r="I35" s="5" t="n">
        <f aca="false">Table7!G35</f>
        <v>0.81481048416686</v>
      </c>
      <c r="J35" s="5" t="n">
        <f aca="false">C_High!M35</f>
        <v>1.69224733622151</v>
      </c>
    </row>
    <row r="36" s="1" customFormat="true" ht="15.75" hidden="false" customHeight="true" outlineLevel="0" collapsed="false">
      <c r="A36" s="1" t="s">
        <v>153</v>
      </c>
      <c r="B36" s="5" t="n">
        <f aca="false">C_Low!K36</f>
        <v>0.367725428249372</v>
      </c>
      <c r="C36" s="5" t="n">
        <f aca="false">Table7!E36</f>
        <v>1.95462954016611</v>
      </c>
      <c r="D36" s="5" t="n">
        <f aca="false">C_High!K36</f>
        <v>4.01532228661101</v>
      </c>
      <c r="E36" s="5" t="n">
        <f aca="false">C_Low!L36</f>
        <v>0.0537524988602481</v>
      </c>
      <c r="F36" s="5" t="n">
        <f aca="false">Table7!F36</f>
        <v>0.285719218902468</v>
      </c>
      <c r="G36" s="5" t="n">
        <f aca="false">C_High!L36</f>
        <v>0.586942294586766</v>
      </c>
      <c r="H36" s="5" t="n">
        <f aca="false">C_Low!M36</f>
        <v>0.165528528466927</v>
      </c>
      <c r="I36" s="5" t="n">
        <f aca="false">Table7!G36</f>
        <v>0.879860152782989</v>
      </c>
      <c r="J36" s="5" t="n">
        <f aca="false">C_High!M36</f>
        <v>1.80746377150847</v>
      </c>
    </row>
    <row r="37" s="1" customFormat="true" ht="15.75" hidden="false" customHeight="true" outlineLevel="0" collapsed="false">
      <c r="A37" s="1" t="s">
        <v>154</v>
      </c>
      <c r="B37" s="5" t="n">
        <f aca="false">C_Low!K37</f>
        <v>0.489882460683381</v>
      </c>
      <c r="C37" s="5" t="n">
        <f aca="false">Table7!E37</f>
        <v>2.63285837872559</v>
      </c>
      <c r="D37" s="5" t="n">
        <f aca="false">C_High!K37</f>
        <v>5.79251677259518</v>
      </c>
      <c r="E37" s="5" t="n">
        <f aca="false">C_Low!L37</f>
        <v>0.0716088809384206</v>
      </c>
      <c r="F37" s="5" t="n">
        <f aca="false">Table7!F37</f>
        <v>0.384859751677734</v>
      </c>
      <c r="G37" s="5" t="n">
        <f aca="false">C_High!L37</f>
        <v>0.846724831348191</v>
      </c>
      <c r="H37" s="5" t="n">
        <f aca="false">C_Low!M37</f>
        <v>0.220516495758043</v>
      </c>
      <c r="I37" s="5" t="n">
        <f aca="false">Table7!G37</f>
        <v>1.18515919654248</v>
      </c>
      <c r="J37" s="5" t="n">
        <f aca="false">C_High!M37</f>
        <v>2.60745301746565</v>
      </c>
    </row>
    <row r="38" s="1" customFormat="true" ht="15.75" hidden="false" customHeight="true" outlineLevel="0" collapsed="false">
      <c r="A38" s="1" t="s">
        <v>155</v>
      </c>
      <c r="B38" s="5" t="n">
        <f aca="false">C_Low!K38</f>
        <v>0.622673819882684</v>
      </c>
      <c r="C38" s="5" t="n">
        <f aca="false">Table7!E38</f>
        <v>3.30719829211452</v>
      </c>
      <c r="D38" s="5" t="n">
        <f aca="false">C_High!K38</f>
        <v>7.0680139820709</v>
      </c>
      <c r="E38" s="5" t="n">
        <f aca="false">C_Low!L38</f>
        <v>0.0910197425097634</v>
      </c>
      <c r="F38" s="5" t="n">
        <f aca="false">Table7!F38</f>
        <v>0.483431818337419</v>
      </c>
      <c r="G38" s="5" t="n">
        <f aca="false">C_High!L38</f>
        <v>1.03317144893728</v>
      </c>
      <c r="H38" s="5" t="n">
        <f aca="false">C_Low!M38</f>
        <v>0.28029141637212</v>
      </c>
      <c r="I38" s="5" t="n">
        <f aca="false">Table7!G38</f>
        <v>1.48870767313597</v>
      </c>
      <c r="J38" s="5" t="n">
        <f aca="false">C_High!M38</f>
        <v>3.18160742705684</v>
      </c>
    </row>
    <row r="39" s="1" customFormat="true" ht="15.75" hidden="false" customHeight="true" outlineLevel="0" collapsed="false">
      <c r="A39" s="1" t="s">
        <v>156</v>
      </c>
      <c r="B39" s="5" t="n">
        <f aca="false">C_Low!K39</f>
        <v>0.862168042943149</v>
      </c>
      <c r="C39" s="5" t="n">
        <f aca="false">Table7!E39</f>
        <v>4.54230449389681</v>
      </c>
      <c r="D39" s="5" t="n">
        <f aca="false">C_High!K39</f>
        <v>9.28381233900957</v>
      </c>
      <c r="E39" s="5" t="n">
        <f aca="false">C_Low!L39</f>
        <v>0.126027963217752</v>
      </c>
      <c r="F39" s="5" t="n">
        <f aca="false">Table7!F39</f>
        <v>0.663974254631941</v>
      </c>
      <c r="G39" s="5" t="n">
        <f aca="false">C_High!L39</f>
        <v>1.35706718609885</v>
      </c>
      <c r="H39" s="5" t="n">
        <f aca="false">C_Low!M39</f>
        <v>0.388097739443814</v>
      </c>
      <c r="I39" s="5" t="n">
        <f aca="false">Table7!G39</f>
        <v>2.04468040815921</v>
      </c>
      <c r="J39" s="5" t="n">
        <f aca="false">C_High!M39</f>
        <v>4.17903054013774</v>
      </c>
    </row>
    <row r="40" s="1" customFormat="true" ht="15.75" hidden="false" customHeight="true" outlineLevel="0" collapsed="false">
      <c r="A40" s="1" t="s">
        <v>157</v>
      </c>
      <c r="B40" s="5" t="n">
        <f aca="false">C_Low!K40</f>
        <v>0.809319040882761</v>
      </c>
      <c r="C40" s="5" t="n">
        <f aca="false">Table7!E40</f>
        <v>4.23710059851633</v>
      </c>
      <c r="D40" s="5" t="n">
        <f aca="false">C_High!K40</f>
        <v>8.79172708323383</v>
      </c>
      <c r="E40" s="5" t="n">
        <f aca="false">C_Low!L40</f>
        <v>0.11830272665595</v>
      </c>
      <c r="F40" s="5" t="n">
        <f aca="false">Table7!F40</f>
        <v>0.61936088068964</v>
      </c>
      <c r="G40" s="5" t="n">
        <f aca="false">C_High!L40</f>
        <v>1.28513631018376</v>
      </c>
      <c r="H40" s="5" t="n">
        <f aca="false">C_Low!M40</f>
        <v>0.364308202822297</v>
      </c>
      <c r="I40" s="5" t="n">
        <f aca="false">Table7!G40</f>
        <v>1.90729542522449</v>
      </c>
      <c r="J40" s="5" t="n">
        <f aca="false">C_High!M40</f>
        <v>3.9575224745775</v>
      </c>
    </row>
    <row r="41" s="1" customFormat="true" ht="15.75" hidden="false" customHeight="true" outlineLevel="0" collapsed="false">
      <c r="A41" s="1" t="s">
        <v>158</v>
      </c>
      <c r="B41" s="5" t="n">
        <f aca="false">C_Low!K41</f>
        <v>0.851009174500738</v>
      </c>
      <c r="C41" s="5" t="n">
        <f aca="false">Table7!E41</f>
        <v>4.57383063316862</v>
      </c>
      <c r="D41" s="5" t="n">
        <f aca="false">C_High!K41</f>
        <v>9.3073849217493</v>
      </c>
      <c r="E41" s="5" t="n">
        <f aca="false">C_Low!L41</f>
        <v>0.124396808510589</v>
      </c>
      <c r="F41" s="5" t="n">
        <f aca="false">Table7!F41</f>
        <v>0.668582608134564</v>
      </c>
      <c r="G41" s="5" t="n">
        <f aca="false">C_High!L41</f>
        <v>1.36051292340585</v>
      </c>
      <c r="H41" s="5" t="n">
        <f aca="false">C_Low!M41</f>
        <v>0.383074668068463</v>
      </c>
      <c r="I41" s="5" t="n">
        <f aca="false">Table7!G41</f>
        <v>2.05887163629035</v>
      </c>
      <c r="J41" s="5" t="n">
        <f aca="false">C_High!M41</f>
        <v>4.18964154126335</v>
      </c>
    </row>
    <row r="42" s="1" customFormat="true" ht="15.75" hidden="false" customHeight="true" outlineLevel="0" collapsed="false">
      <c r="A42" s="1" t="s">
        <v>159</v>
      </c>
      <c r="B42" s="5" t="n">
        <f aca="false">C_Low!K42</f>
        <v>0.974431814952771</v>
      </c>
      <c r="C42" s="5" t="n">
        <f aca="false">Table7!E42</f>
        <v>5.10372851101958</v>
      </c>
      <c r="D42" s="5" t="n">
        <f aca="false">C_High!K42</f>
        <v>10.573088735666</v>
      </c>
      <c r="E42" s="5" t="n">
        <f aca="false">C_Low!L42</f>
        <v>0.142438191647487</v>
      </c>
      <c r="F42" s="5" t="n">
        <f aca="false">Table7!F42</f>
        <v>0.746040768183032</v>
      </c>
      <c r="G42" s="5" t="n">
        <f aca="false">C_High!L42</f>
        <v>1.54552798515684</v>
      </c>
      <c r="H42" s="5" t="n">
        <f aca="false">C_Low!M42</f>
        <v>0.438632338232282</v>
      </c>
      <c r="I42" s="5" t="n">
        <f aca="false">Table7!G42</f>
        <v>2.29740073767992</v>
      </c>
      <c r="J42" s="5" t="n">
        <f aca="false">C_High!M42</f>
        <v>4.75938753568648</v>
      </c>
    </row>
    <row r="43" s="1" customFormat="true" ht="15.75" hidden="false" customHeight="true" outlineLevel="0" collapsed="false">
      <c r="A43" s="1" t="s">
        <v>160</v>
      </c>
      <c r="B43" s="5" t="n">
        <f aca="false">C_Low!K43</f>
        <v>1.04478747588195</v>
      </c>
      <c r="C43" s="5" t="n">
        <f aca="false">Table7!E43</f>
        <v>5.77387175449638</v>
      </c>
      <c r="D43" s="5" t="n">
        <f aca="false">C_High!K43</f>
        <v>12.2262450687851</v>
      </c>
      <c r="E43" s="5" t="n">
        <f aca="false">C_Low!L43</f>
        <v>0.15272247522807</v>
      </c>
      <c r="F43" s="5" t="n">
        <f aca="false">Table7!F43</f>
        <v>0.84399938394338</v>
      </c>
      <c r="G43" s="5" t="n">
        <f aca="false">C_High!L43</f>
        <v>1.78717916586208</v>
      </c>
      <c r="H43" s="5" t="n">
        <f aca="false">C_Low!M43</f>
        <v>0.470302351041478</v>
      </c>
      <c r="I43" s="5" t="n">
        <f aca="false">Table7!G43</f>
        <v>2.59906011838378</v>
      </c>
      <c r="J43" s="5" t="n">
        <f aca="false">C_High!M43</f>
        <v>5.50354204371093</v>
      </c>
    </row>
    <row r="44" s="1" customFormat="true" ht="15.75" hidden="false" customHeight="true" outlineLevel="0" collapsed="false">
      <c r="A44" s="1" t="s">
        <v>161</v>
      </c>
      <c r="B44" s="5" t="n">
        <f aca="false">C_Low!K44</f>
        <v>1.04478747588195</v>
      </c>
      <c r="C44" s="5" t="n">
        <f aca="false">Table7!E44</f>
        <v>5.77387175449638</v>
      </c>
      <c r="D44" s="5" t="n">
        <f aca="false">C_High!K44</f>
        <v>12.266127709459</v>
      </c>
      <c r="E44" s="5" t="n">
        <f aca="false">C_Low!L44</f>
        <v>0.15272247522807</v>
      </c>
      <c r="F44" s="5" t="n">
        <f aca="false">Table7!F44</f>
        <v>0.84399938394338</v>
      </c>
      <c r="G44" s="5" t="n">
        <f aca="false">C_High!L44</f>
        <v>1.79300903628352</v>
      </c>
      <c r="H44" s="5" t="n">
        <f aca="false">C_Low!M44</f>
        <v>0.470302351041478</v>
      </c>
      <c r="I44" s="5" t="n">
        <f aca="false">Table7!G44</f>
        <v>2.59906011838378</v>
      </c>
      <c r="J44" s="5" t="n">
        <f aca="false">C_High!M44</f>
        <v>5.5214948811134</v>
      </c>
    </row>
    <row r="45" s="1" customFormat="true" ht="15.75" hidden="false" customHeight="true" outlineLevel="0" collapsed="false">
      <c r="A45" s="1" t="s">
        <v>163</v>
      </c>
      <c r="B45" s="5" t="n">
        <f aca="false">C_Low!K45</f>
        <v>0.454122268075258</v>
      </c>
      <c r="C45" s="5" t="n">
        <f aca="false">Table7!E45</f>
        <v>2.37810471853289</v>
      </c>
      <c r="D45" s="5" t="n">
        <f aca="false">C_High!K45</f>
        <v>5.01697117556161</v>
      </c>
      <c r="E45" s="5" t="n">
        <f aca="false">C_Low!L45</f>
        <v>0.0663816119906043</v>
      </c>
      <c r="F45" s="5" t="n">
        <f aca="false">Table7!F45</f>
        <v>0.347620973020671</v>
      </c>
      <c r="G45" s="5" t="n">
        <f aca="false">C_High!L45</f>
        <v>0.733358959373879</v>
      </c>
      <c r="H45" s="5" t="n">
        <f aca="false">C_Low!M45</f>
        <v>0.204419343901299</v>
      </c>
      <c r="I45" s="5" t="n">
        <f aca="false">Table7!G45</f>
        <v>1.07048396536792</v>
      </c>
      <c r="J45" s="5" t="n">
        <f aca="false">C_High!M45</f>
        <v>2.25834764814941</v>
      </c>
    </row>
    <row r="46" s="1" customFormat="true" ht="15.75" hidden="false" customHeight="true" outlineLevel="0" collapsed="false">
      <c r="A46" s="1" t="s">
        <v>164</v>
      </c>
      <c r="B46" s="5" t="n">
        <f aca="false">C_Low!K46</f>
        <v>0.465276767977585</v>
      </c>
      <c r="C46" s="5" t="n">
        <f aca="false">Table7!E46</f>
        <v>2.42475674674202</v>
      </c>
      <c r="D46" s="5" t="n">
        <f aca="false">C_High!K46</f>
        <v>4.95132790943395</v>
      </c>
      <c r="E46" s="5" t="n">
        <f aca="false">C_Low!L46</f>
        <v>0.0680121281236356</v>
      </c>
      <c r="F46" s="5" t="n">
        <f aca="false">Table7!F46</f>
        <v>0.354440362979853</v>
      </c>
      <c r="G46" s="5" t="n">
        <f aca="false">C_High!L46</f>
        <v>0.723763513107059</v>
      </c>
      <c r="H46" s="5" t="n">
        <f aca="false">C_Low!M46</f>
        <v>0.209440448814839</v>
      </c>
      <c r="I46" s="5" t="n">
        <f aca="false">Table7!G46</f>
        <v>1.09148398599803</v>
      </c>
      <c r="J46" s="5" t="n">
        <f aca="false">C_High!M46</f>
        <v>2.22879888047891</v>
      </c>
    </row>
    <row r="47" s="1" customFormat="true" ht="15.75" hidden="false" customHeight="true" outlineLevel="0" collapsed="false">
      <c r="A47" s="1" t="s">
        <v>165</v>
      </c>
      <c r="B47" s="5" t="n">
        <f aca="false">C_Low!K47</f>
        <v>0.460326532827698</v>
      </c>
      <c r="C47" s="5" t="n">
        <f aca="false">Table7!E47</f>
        <v>2.41039912003178</v>
      </c>
      <c r="D47" s="5" t="n">
        <f aca="false">C_High!K47</f>
        <v>4.91633184866725</v>
      </c>
      <c r="E47" s="5" t="n">
        <f aca="false">C_Low!L47</f>
        <v>0.0672885243453519</v>
      </c>
      <c r="F47" s="5" t="n">
        <f aca="false">Table7!F47</f>
        <v>0.352341627744023</v>
      </c>
      <c r="G47" s="5" t="n">
        <f aca="false">C_High!L47</f>
        <v>0.718647941618216</v>
      </c>
      <c r="H47" s="5" t="n">
        <f aca="false">C_Low!M47</f>
        <v>0.207212141830938</v>
      </c>
      <c r="I47" s="5" t="n">
        <f aca="false">Table7!G47</f>
        <v>1.08502102032026</v>
      </c>
      <c r="J47" s="5" t="n">
        <f aca="false">C_High!M47</f>
        <v>2.21304569618478</v>
      </c>
    </row>
    <row r="48" s="1" customFormat="true" ht="15.75" hidden="false" customHeight="true" outlineLevel="0" collapsed="false">
      <c r="A48" s="1" t="s">
        <v>166</v>
      </c>
      <c r="B48" s="5" t="n">
        <f aca="false">C_Low!K48</f>
        <v>0.490149703850316</v>
      </c>
      <c r="C48" s="5" t="n">
        <f aca="false">Table7!E48</f>
        <v>2.53352504434438</v>
      </c>
      <c r="D48" s="5" t="n">
        <f aca="false">C_High!K48</f>
        <v>5.28525131704564</v>
      </c>
      <c r="E48" s="5" t="n">
        <f aca="false">C_Low!L48</f>
        <v>0.0716479453786864</v>
      </c>
      <c r="F48" s="5" t="n">
        <f aca="false">Table7!F48</f>
        <v>0.370339638210113</v>
      </c>
      <c r="G48" s="5" t="n">
        <f aca="false">C_High!L48</f>
        <v>0.772574980055396</v>
      </c>
      <c r="H48" s="5" t="n">
        <f aca="false">C_Low!M48</f>
        <v>0.220636793036304</v>
      </c>
      <c r="I48" s="5" t="n">
        <f aca="false">Table7!G48</f>
        <v>1.14044512619355</v>
      </c>
      <c r="J48" s="5" t="n">
        <f aca="false">C_High!M48</f>
        <v>2.37911171183726</v>
      </c>
    </row>
    <row r="49" s="1" customFormat="true" ht="15.75" hidden="false" customHeight="true" outlineLevel="0" collapsed="false">
      <c r="A49" s="1" t="s">
        <v>167</v>
      </c>
      <c r="B49" s="5" t="n">
        <f aca="false">C_Low!K49</f>
        <v>0.554045870175646</v>
      </c>
      <c r="C49" s="5" t="n">
        <f aca="false">Table7!E49</f>
        <v>2.94464278408696</v>
      </c>
      <c r="D49" s="5" t="n">
        <f aca="false">C_High!K49</f>
        <v>6.1005931075237</v>
      </c>
      <c r="E49" s="5" t="n">
        <f aca="false">C_Low!L49</f>
        <v>0.0809880082183097</v>
      </c>
      <c r="F49" s="5" t="n">
        <f aca="false">Table7!F49</f>
        <v>0.43043503586087</v>
      </c>
      <c r="G49" s="5" t="n">
        <f aca="false">C_High!L49</f>
        <v>0.891758085972302</v>
      </c>
      <c r="H49" s="5" t="n">
        <f aca="false">C_Low!M49</f>
        <v>0.24939911833119</v>
      </c>
      <c r="I49" s="5" t="n">
        <f aca="false">Table7!G49</f>
        <v>1.32550634105217</v>
      </c>
      <c r="J49" s="5" t="n">
        <f aca="false">C_High!M49</f>
        <v>2.74613100505812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5"/>
    <col collapsed="false" customWidth="true" hidden="false" outlineLevel="0" max="4" min="4" style="1" width="20"/>
    <col collapsed="false" customWidth="true" hidden="false" outlineLevel="0" max="5" min="5" style="1" width="5"/>
    <col collapsed="false" customWidth="true" hidden="false" outlineLevel="0" max="6" min="6" style="1" width="20"/>
    <col collapsed="false" customWidth="true" hidden="false" outlineLevel="0" max="7" min="7" style="1" width="5"/>
    <col collapsed="false" customWidth="true" hidden="false" outlineLevel="0" max="8" min="8" style="1" width="24"/>
    <col collapsed="false" customWidth="true" hidden="false" outlineLevel="0" max="9" min="9" style="1" width="22"/>
    <col collapsed="false" customWidth="true" hidden="false" outlineLevel="0" max="10" min="10" style="1" width="5"/>
  </cols>
  <sheetData>
    <row r="1" s="1" customFormat="true" ht="15" hidden="false" customHeight="true" outlineLevel="0" collapsed="false">
      <c r="A1" s="2" t="s">
        <v>215</v>
      </c>
    </row>
    <row r="2" s="1" customFormat="true" ht="15" hidden="false" customHeight="true" outlineLevel="0" collapsed="false">
      <c r="A2" s="2" t="s">
        <v>105</v>
      </c>
      <c r="B2" s="2" t="s">
        <v>216</v>
      </c>
      <c r="C2" s="2" t="s">
        <v>100</v>
      </c>
      <c r="D2" s="2" t="s">
        <v>217</v>
      </c>
      <c r="E2" s="2" t="s">
        <v>100</v>
      </c>
      <c r="F2" s="2" t="s">
        <v>218</v>
      </c>
      <c r="G2" s="2" t="s">
        <v>100</v>
      </c>
      <c r="H2" s="2" t="s">
        <v>219</v>
      </c>
      <c r="I2" s="2" t="s">
        <v>220</v>
      </c>
      <c r="J2" s="2" t="s">
        <v>100</v>
      </c>
    </row>
    <row r="3" s="1" customFormat="true" ht="15" hidden="false" customHeight="true" outlineLevel="0" collapsed="false">
      <c r="A3" s="1" t="s">
        <v>221</v>
      </c>
      <c r="B3" s="5" t="n">
        <v>2.07</v>
      </c>
      <c r="C3" s="9" t="n">
        <v>37</v>
      </c>
      <c r="D3" s="5" t="n">
        <v>1.71</v>
      </c>
      <c r="E3" s="9" t="n">
        <v>39</v>
      </c>
      <c r="F3" s="5" t="n">
        <v>1.84</v>
      </c>
      <c r="G3" s="9" t="n">
        <v>4</v>
      </c>
      <c r="H3" s="5" t="n">
        <v>1.02</v>
      </c>
      <c r="I3" s="5" t="n">
        <v>5.82</v>
      </c>
      <c r="J3" s="9" t="n">
        <v>12</v>
      </c>
    </row>
    <row r="4" s="1" customFormat="true" ht="15" hidden="false" customHeight="true" outlineLevel="0" collapsed="false">
      <c r="A4" s="1" t="s">
        <v>114</v>
      </c>
      <c r="B4" s="5" t="n">
        <v>1.64</v>
      </c>
      <c r="C4" s="9" t="n">
        <v>37</v>
      </c>
      <c r="D4" s="5" t="n">
        <v>1.45</v>
      </c>
      <c r="E4" s="9" t="n">
        <v>39</v>
      </c>
      <c r="F4" s="5" t="n">
        <v>1.34</v>
      </c>
      <c r="G4" s="9" t="n">
        <v>4</v>
      </c>
      <c r="H4" s="5" t="n">
        <v>1.01</v>
      </c>
      <c r="I4" s="5" t="n">
        <v>2.07</v>
      </c>
      <c r="J4" s="9" t="n">
        <v>20</v>
      </c>
    </row>
    <row r="5" s="1" customFormat="true" ht="15" hidden="false" customHeight="true" outlineLevel="0" collapsed="false">
      <c r="A5" s="1" t="s">
        <v>116</v>
      </c>
      <c r="B5" s="5" t="n">
        <v>2.01</v>
      </c>
      <c r="C5" s="9" t="n">
        <v>37</v>
      </c>
      <c r="D5" s="5" t="n">
        <v>1.69</v>
      </c>
      <c r="E5" s="9" t="n">
        <v>39</v>
      </c>
      <c r="F5" s="5" t="n">
        <v>1.54</v>
      </c>
      <c r="G5" s="9" t="n">
        <v>4</v>
      </c>
      <c r="H5" s="5" t="n">
        <v>1.02</v>
      </c>
      <c r="I5" s="5" t="n">
        <v>3.21</v>
      </c>
      <c r="J5" s="9" t="n">
        <v>12</v>
      </c>
    </row>
    <row r="6" s="1" customFormat="true" ht="15" hidden="false" customHeight="true" outlineLevel="0" collapsed="false">
      <c r="A6" s="1" t="s">
        <v>118</v>
      </c>
      <c r="B6" s="5" t="n">
        <v>2.99</v>
      </c>
      <c r="C6" s="9" t="n">
        <v>36</v>
      </c>
      <c r="D6" s="5" t="n">
        <v>2.39</v>
      </c>
      <c r="E6" s="9" t="n">
        <v>39</v>
      </c>
      <c r="F6" s="5" t="n">
        <v>2.2</v>
      </c>
      <c r="G6" s="9" t="n">
        <v>4</v>
      </c>
      <c r="H6" s="5" t="n">
        <v>1.14</v>
      </c>
      <c r="I6" s="5" t="n">
        <v>4.93</v>
      </c>
      <c r="J6" s="9" t="n">
        <v>12</v>
      </c>
    </row>
    <row r="7" s="1" customFormat="true" ht="15" hidden="false" customHeight="true" outlineLevel="0" collapsed="false">
      <c r="A7" s="1" t="s">
        <v>222</v>
      </c>
      <c r="B7" s="5" t="n">
        <v>3.52</v>
      </c>
      <c r="C7" s="9" t="n">
        <v>37</v>
      </c>
      <c r="D7" s="5" t="n">
        <v>2.46</v>
      </c>
      <c r="E7" s="9" t="n">
        <v>38</v>
      </c>
      <c r="F7" s="5" t="n">
        <v>2.76</v>
      </c>
      <c r="G7" s="9" t="n">
        <v>3</v>
      </c>
      <c r="H7" s="5" t="n">
        <v>1.29</v>
      </c>
      <c r="I7" s="5" t="n">
        <v>5.62</v>
      </c>
      <c r="J7" s="9" t="n">
        <v>12</v>
      </c>
    </row>
    <row r="8" s="1" customFormat="true" ht="15" hidden="false" customHeight="true" outlineLevel="0" collapsed="false"/>
    <row r="9" s="1" customFormat="true" ht="15" hidden="false" customHeight="true" outlineLevel="0" collapsed="false">
      <c r="A9" s="1" t="s">
        <v>223</v>
      </c>
      <c r="C9" s="9" t="n">
        <v>0</v>
      </c>
      <c r="E9" s="9" t="n">
        <v>0</v>
      </c>
      <c r="G9" s="9" t="n">
        <v>0</v>
      </c>
      <c r="J9" s="9"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 min="1" style="1" width="28"/>
    <col collapsed="false" customWidth="true" hidden="false" outlineLevel="0" max="2" min="2" style="1" width="34"/>
    <col collapsed="false" customWidth="true" hidden="false" outlineLevel="0" max="3" min="3" style="1" width="8"/>
    <col collapsed="false" customWidth="true" hidden="false" outlineLevel="0" max="4" min="4" style="1" width="9"/>
    <col collapsed="false" customWidth="true" hidden="false" outlineLevel="0" max="6" min="5" style="1" width="8.71"/>
  </cols>
  <sheetData>
    <row r="1" s="1" customFormat="true" ht="15" hidden="false" customHeight="true" outlineLevel="0" collapsed="false">
      <c r="A1" s="2" t="s">
        <v>224</v>
      </c>
    </row>
    <row r="2" s="1" customFormat="true" ht="15" hidden="false" customHeight="true" outlineLevel="0" collapsed="false">
      <c r="A2" s="2" t="s">
        <v>225</v>
      </c>
      <c r="B2" s="2" t="s">
        <v>226</v>
      </c>
      <c r="C2" s="2" t="s">
        <v>227</v>
      </c>
      <c r="D2" s="2" t="s">
        <v>228</v>
      </c>
    </row>
    <row r="3" s="1" customFormat="true" ht="15" hidden="false" customHeight="true" outlineLevel="0" collapsed="false">
      <c r="A3" s="1" t="s">
        <v>107</v>
      </c>
      <c r="B3" s="4" t="n">
        <v>80.1</v>
      </c>
      <c r="C3" s="4" t="n">
        <v>23.9</v>
      </c>
      <c r="D3" s="9" t="n">
        <v>57</v>
      </c>
    </row>
    <row r="4" s="1" customFormat="true" ht="15" hidden="false" customHeight="true" outlineLevel="0" collapsed="false">
      <c r="A4" s="1" t="s">
        <v>117</v>
      </c>
      <c r="B4" s="4" t="n">
        <v>68.1</v>
      </c>
      <c r="C4" s="4" t="n">
        <v>15.7</v>
      </c>
      <c r="D4" s="9" t="n">
        <v>56</v>
      </c>
    </row>
    <row r="5" s="1" customFormat="true" ht="15" hidden="false" customHeight="true" outlineLevel="0" collapsed="false">
      <c r="A5" s="1" t="s">
        <v>113</v>
      </c>
      <c r="B5" s="4" t="n">
        <v>61.7</v>
      </c>
      <c r="C5" s="4" t="n">
        <v>14.2</v>
      </c>
      <c r="D5" s="9" t="n">
        <v>57</v>
      </c>
    </row>
    <row r="6" s="1" customFormat="true" ht="15" hidden="false" customHeight="true" outlineLevel="0" collapsed="false">
      <c r="A6" s="1" t="s">
        <v>115</v>
      </c>
      <c r="B6" s="4" t="n">
        <v>60.8</v>
      </c>
      <c r="C6" s="4" t="n">
        <v>14.5</v>
      </c>
      <c r="D6" s="9" t="n">
        <v>57</v>
      </c>
    </row>
    <row r="7" s="1" customFormat="true" ht="15" hidden="false" customHeight="true" outlineLevel="0" collapsed="false">
      <c r="A7" s="1" t="s">
        <v>111</v>
      </c>
      <c r="B7" s="4" t="n">
        <v>61.4</v>
      </c>
      <c r="C7" s="4" t="n">
        <v>13.3</v>
      </c>
      <c r="D7" s="9" t="n">
        <v>57</v>
      </c>
    </row>
    <row r="8" s="1" customFormat="true" ht="15" hidden="false" customHeight="true" outlineLevel="0" collapsed="false">
      <c r="A8" s="1" t="s">
        <v>119</v>
      </c>
      <c r="B8" s="4" t="n">
        <v>63.8</v>
      </c>
      <c r="C8" s="4" t="n">
        <v>16.7</v>
      </c>
      <c r="D8" s="9" t="n">
        <v>56</v>
      </c>
    </row>
    <row r="9" s="1" customFormat="true" ht="15" hidden="false" customHeight="true" outlineLevel="0" collapsed="false">
      <c r="A9" s="1" t="s">
        <v>125</v>
      </c>
      <c r="B9" s="4" t="n">
        <v>57.5</v>
      </c>
      <c r="C9" s="4" t="n">
        <v>6.4</v>
      </c>
      <c r="D9" s="9" t="n">
        <v>56</v>
      </c>
    </row>
    <row r="10" s="1" customFormat="true" ht="15" hidden="false" customHeight="true" outlineLevel="0" collapsed="false">
      <c r="A10" s="1" t="s">
        <v>123</v>
      </c>
      <c r="B10" s="4" t="n">
        <v>57</v>
      </c>
      <c r="C10" s="4" t="n">
        <v>6</v>
      </c>
      <c r="D10" s="9" t="n">
        <v>57</v>
      </c>
    </row>
    <row r="11" s="1" customFormat="true" ht="15" hidden="false" customHeight="true" outlineLevel="0" collapsed="false">
      <c r="A11" s="1" t="s">
        <v>124</v>
      </c>
      <c r="B11" s="4" t="n">
        <v>57.9</v>
      </c>
      <c r="C11" s="4" t="n">
        <v>6.3</v>
      </c>
      <c r="D11" s="9" t="n">
        <v>57</v>
      </c>
    </row>
    <row r="12" s="1" customFormat="true" ht="15" hidden="false" customHeight="true" outlineLevel="0" collapsed="false">
      <c r="A12" s="1" t="s">
        <v>122</v>
      </c>
      <c r="B12" s="4" t="n">
        <v>59.6</v>
      </c>
      <c r="C12" s="4" t="n">
        <v>6.4</v>
      </c>
      <c r="D12" s="9" t="n">
        <v>57</v>
      </c>
    </row>
    <row r="13" s="1" customFormat="true" ht="15" hidden="false" customHeight="true" outlineLevel="0" collapsed="false">
      <c r="A13" s="1" t="s">
        <v>126</v>
      </c>
      <c r="B13" s="4" t="n">
        <v>59.1</v>
      </c>
      <c r="C13" s="4" t="n">
        <v>6.9</v>
      </c>
      <c r="D13" s="9" t="n">
        <v>56</v>
      </c>
    </row>
    <row r="14" s="1" customFormat="true" ht="15" hidden="false" customHeight="true" outlineLevel="0" collapsed="false">
      <c r="A14" s="1" t="s">
        <v>143</v>
      </c>
      <c r="B14" s="4" t="n">
        <v>93.4</v>
      </c>
      <c r="C14" s="4" t="n">
        <v>11.3</v>
      </c>
      <c r="D14" s="9" t="n">
        <v>56</v>
      </c>
    </row>
    <row r="15" s="1" customFormat="true" ht="15" hidden="false" customHeight="true" outlineLevel="0" collapsed="false">
      <c r="A15" s="1" t="s">
        <v>141</v>
      </c>
      <c r="B15" s="4" t="n">
        <v>92.1</v>
      </c>
      <c r="C15" s="4" t="n">
        <v>16.3</v>
      </c>
      <c r="D15" s="9" t="n">
        <v>57</v>
      </c>
    </row>
    <row r="16" s="1" customFormat="true" ht="15" hidden="false" customHeight="true" outlineLevel="0" collapsed="false">
      <c r="A16" s="1" t="s">
        <v>142</v>
      </c>
      <c r="B16" s="4" t="n">
        <v>93</v>
      </c>
      <c r="C16" s="4" t="n">
        <v>10.7</v>
      </c>
      <c r="D16" s="9" t="n">
        <v>57</v>
      </c>
    </row>
    <row r="17" s="1" customFormat="true" ht="15" hidden="false" customHeight="true" outlineLevel="0" collapsed="false">
      <c r="A17" s="1" t="s">
        <v>140</v>
      </c>
      <c r="B17" s="4" t="n">
        <v>86</v>
      </c>
      <c r="C17" s="4" t="n">
        <v>12.7</v>
      </c>
      <c r="D17" s="9" t="n">
        <v>57</v>
      </c>
    </row>
    <row r="18" s="1" customFormat="true" ht="15" hidden="false" customHeight="true" outlineLevel="0" collapsed="false">
      <c r="A18" s="1" t="s">
        <v>144</v>
      </c>
      <c r="B18" s="4" t="n">
        <v>95.6</v>
      </c>
      <c r="C18" s="4" t="n">
        <v>10.1</v>
      </c>
      <c r="D18" s="9" t="n">
        <v>44</v>
      </c>
    </row>
    <row r="19" s="1" customFormat="true" ht="15" hidden="false" customHeight="true" outlineLevel="0" collapsed="false">
      <c r="A19" s="1" t="s">
        <v>137</v>
      </c>
      <c r="B19" s="4" t="n">
        <v>140.4</v>
      </c>
      <c r="C19" s="4" t="n">
        <v>13.5</v>
      </c>
      <c r="D19" s="9" t="n">
        <v>56</v>
      </c>
    </row>
    <row r="20" s="1" customFormat="true" ht="15" hidden="false" customHeight="true" outlineLevel="0" collapsed="false">
      <c r="A20" s="1" t="s">
        <v>135</v>
      </c>
      <c r="B20" s="4" t="n">
        <v>137.2</v>
      </c>
      <c r="C20" s="4" t="n">
        <v>14.3</v>
      </c>
      <c r="D20" s="9" t="n">
        <v>57</v>
      </c>
    </row>
    <row r="21" s="1" customFormat="true" ht="15.75" hidden="false" customHeight="true" outlineLevel="0" collapsed="false">
      <c r="A21" s="1" t="s">
        <v>136</v>
      </c>
      <c r="B21" s="4" t="n">
        <v>136.7</v>
      </c>
      <c r="C21" s="4" t="n">
        <v>15.2</v>
      </c>
      <c r="D21" s="9" t="n">
        <v>57</v>
      </c>
    </row>
    <row r="22" s="1" customFormat="true" ht="15.75" hidden="false" customHeight="true" outlineLevel="0" collapsed="false">
      <c r="A22" s="1" t="s">
        <v>134</v>
      </c>
      <c r="B22" s="4" t="n">
        <v>140.5</v>
      </c>
      <c r="C22" s="4" t="n">
        <v>18.1</v>
      </c>
      <c r="D22" s="9" t="n">
        <v>57</v>
      </c>
    </row>
    <row r="23" s="1" customFormat="true" ht="15.75" hidden="false" customHeight="true" outlineLevel="0" collapsed="false">
      <c r="A23" s="1" t="s">
        <v>138</v>
      </c>
      <c r="B23" s="4" t="n">
        <v>139.2</v>
      </c>
      <c r="C23" s="4" t="n">
        <v>24.5</v>
      </c>
      <c r="D23" s="9" t="n">
        <v>23</v>
      </c>
    </row>
    <row r="24" s="1" customFormat="true" ht="15.75" hidden="false" customHeight="true" outlineLevel="0" collapsed="false">
      <c r="A24" s="1" t="s">
        <v>131</v>
      </c>
      <c r="B24" s="4" t="n">
        <v>155.2</v>
      </c>
      <c r="C24" s="4" t="n">
        <v>19.5</v>
      </c>
      <c r="D24" s="9" t="n">
        <v>56</v>
      </c>
    </row>
    <row r="25" s="1" customFormat="true" ht="15.75" hidden="false" customHeight="true" outlineLevel="0" collapsed="false">
      <c r="A25" s="1" t="s">
        <v>129</v>
      </c>
      <c r="B25" s="4" t="n">
        <v>154.1</v>
      </c>
      <c r="C25" s="4" t="n">
        <v>18.5</v>
      </c>
      <c r="D25" s="9" t="n">
        <v>57</v>
      </c>
    </row>
    <row r="26" s="1" customFormat="true" ht="15.75" hidden="false" customHeight="true" outlineLevel="0" collapsed="false">
      <c r="A26" s="1" t="s">
        <v>130</v>
      </c>
      <c r="B26" s="4" t="n">
        <v>152.3</v>
      </c>
      <c r="C26" s="4" t="n">
        <v>22.1</v>
      </c>
      <c r="D26" s="9" t="n">
        <v>57</v>
      </c>
    </row>
    <row r="27" s="1" customFormat="true" ht="15.75" hidden="false" customHeight="true" outlineLevel="0" collapsed="false">
      <c r="A27" s="1" t="s">
        <v>128</v>
      </c>
      <c r="B27" s="4" t="n">
        <v>156.6</v>
      </c>
      <c r="C27" s="4" t="n">
        <v>18.7</v>
      </c>
      <c r="D27" s="9" t="n">
        <v>57</v>
      </c>
    </row>
    <row r="28" s="1" customFormat="true" ht="15.75" hidden="false" customHeight="true" outlineLevel="0" collapsed="false">
      <c r="A28" s="1" t="s">
        <v>132</v>
      </c>
      <c r="B28" s="4" t="n">
        <v>153.7</v>
      </c>
      <c r="C28" s="4" t="n">
        <v>19.8</v>
      </c>
      <c r="D28" s="9" t="n">
        <v>56</v>
      </c>
    </row>
    <row r="29" s="1" customFormat="true" ht="15.75" hidden="false" customHeight="true" outlineLevel="0" collapsed="false">
      <c r="A29" s="1" t="s">
        <v>149</v>
      </c>
      <c r="B29" s="4" t="n">
        <v>61.5</v>
      </c>
      <c r="C29" s="4" t="n">
        <v>9</v>
      </c>
      <c r="D29" s="9" t="n">
        <v>56</v>
      </c>
    </row>
    <row r="30" s="1" customFormat="true" ht="15.75" hidden="false" customHeight="true" outlineLevel="0" collapsed="false">
      <c r="A30" s="1" t="s">
        <v>147</v>
      </c>
      <c r="B30" s="4" t="n">
        <v>61.2</v>
      </c>
      <c r="C30" s="4" t="n">
        <v>8.6</v>
      </c>
      <c r="D30" s="9" t="n">
        <v>57</v>
      </c>
    </row>
    <row r="31" s="1" customFormat="true" ht="15.75" hidden="false" customHeight="true" outlineLevel="0" collapsed="false">
      <c r="A31" s="1" t="s">
        <v>148</v>
      </c>
      <c r="B31" s="4" t="n">
        <v>61.4</v>
      </c>
      <c r="C31" s="4" t="n">
        <v>9.1</v>
      </c>
      <c r="D31" s="9" t="n">
        <v>57</v>
      </c>
    </row>
    <row r="32" s="1" customFormat="true" ht="15.75" hidden="false" customHeight="true" outlineLevel="0" collapsed="false">
      <c r="A32" s="1" t="s">
        <v>145</v>
      </c>
      <c r="B32" s="4" t="n">
        <v>60.9</v>
      </c>
      <c r="C32" s="4" t="n">
        <v>9.2</v>
      </c>
      <c r="D32" s="9" t="n">
        <v>57</v>
      </c>
    </row>
    <row r="33" s="1" customFormat="true" ht="15.75" hidden="false" customHeight="true" outlineLevel="0" collapsed="false">
      <c r="A33" s="1" t="s">
        <v>150</v>
      </c>
      <c r="B33" s="4" t="n">
        <v>61.4</v>
      </c>
      <c r="C33" s="4" t="n">
        <v>9.9</v>
      </c>
      <c r="D33" s="9" t="n">
        <v>56</v>
      </c>
    </row>
    <row r="34" s="1" customFormat="true" ht="15.75" hidden="false" customHeight="true" outlineLevel="0" collapsed="false">
      <c r="A34" s="1" t="s">
        <v>154</v>
      </c>
      <c r="B34" s="4" t="n">
        <v>131.4</v>
      </c>
      <c r="C34" s="4" t="n">
        <v>17.8</v>
      </c>
      <c r="D34" s="9" t="n">
        <v>41</v>
      </c>
    </row>
    <row r="35" s="1" customFormat="true" ht="15.75" hidden="false" customHeight="true" outlineLevel="0" collapsed="false">
      <c r="A35" s="1" t="s">
        <v>152</v>
      </c>
      <c r="B35" s="4" t="n">
        <v>130</v>
      </c>
      <c r="C35" s="4" t="n">
        <v>21.1</v>
      </c>
      <c r="D35" s="9" t="n">
        <v>41</v>
      </c>
    </row>
    <row r="36" s="1" customFormat="true" ht="15.75" hidden="false" customHeight="true" outlineLevel="0" collapsed="false">
      <c r="A36" s="1" t="s">
        <v>153</v>
      </c>
      <c r="B36" s="4" t="n">
        <v>135.1</v>
      </c>
      <c r="C36" s="4" t="n">
        <v>29.1</v>
      </c>
      <c r="D36" s="9" t="n">
        <v>41</v>
      </c>
    </row>
    <row r="37" s="1" customFormat="true" ht="15.75" hidden="false" customHeight="true" outlineLevel="0" collapsed="false">
      <c r="A37" s="1" t="s">
        <v>151</v>
      </c>
      <c r="B37" s="4" t="n">
        <v>127.8</v>
      </c>
      <c r="C37" s="4" t="n">
        <v>19.9</v>
      </c>
      <c r="D37" s="9" t="n">
        <v>41</v>
      </c>
    </row>
    <row r="38" s="1" customFormat="true" ht="15.75" hidden="false" customHeight="true" outlineLevel="0" collapsed="false">
      <c r="A38" s="1" t="s">
        <v>155</v>
      </c>
      <c r="B38" s="4" t="n">
        <v>130.1</v>
      </c>
      <c r="C38" s="4" t="n">
        <v>20.3</v>
      </c>
      <c r="D38" s="9" t="n">
        <v>41</v>
      </c>
    </row>
    <row r="39" s="1" customFormat="true" ht="15.75" hidden="false" customHeight="true" outlineLevel="0" collapsed="false">
      <c r="A39" s="1" t="s">
        <v>159</v>
      </c>
      <c r="B39" s="4" t="n">
        <v>53.5</v>
      </c>
      <c r="C39" s="4" t="n">
        <v>6.6</v>
      </c>
      <c r="D39" s="9" t="n">
        <v>39</v>
      </c>
    </row>
    <row r="40" s="1" customFormat="true" ht="15.75" hidden="false" customHeight="true" outlineLevel="0" collapsed="false">
      <c r="A40" s="1" t="s">
        <v>157</v>
      </c>
      <c r="B40" s="4" t="n">
        <v>53.2</v>
      </c>
      <c r="C40" s="4" t="n">
        <v>8.2</v>
      </c>
      <c r="D40" s="9" t="n">
        <v>41</v>
      </c>
    </row>
    <row r="41" s="1" customFormat="true" ht="15.75" hidden="false" customHeight="true" outlineLevel="0" collapsed="false">
      <c r="A41" s="1" t="s">
        <v>158</v>
      </c>
      <c r="B41" s="4" t="n">
        <v>54.4</v>
      </c>
      <c r="C41" s="4" t="n">
        <v>6.5</v>
      </c>
      <c r="D41" s="9" t="n">
        <v>40</v>
      </c>
    </row>
    <row r="42" s="1" customFormat="true" ht="15.75" hidden="false" customHeight="true" outlineLevel="0" collapsed="false">
      <c r="A42" s="1" t="s">
        <v>156</v>
      </c>
      <c r="B42" s="4" t="n">
        <v>53.9</v>
      </c>
      <c r="C42" s="4" t="n">
        <v>6.4</v>
      </c>
      <c r="D42" s="9" t="n">
        <v>40</v>
      </c>
    </row>
    <row r="43" s="1" customFormat="true" ht="15.75" hidden="false" customHeight="true" outlineLevel="0" collapsed="false">
      <c r="A43" s="1" t="s">
        <v>160</v>
      </c>
      <c r="B43" s="4" t="n">
        <v>54.7</v>
      </c>
      <c r="C43" s="4" t="n">
        <v>8.5</v>
      </c>
      <c r="D43" s="9" t="n">
        <v>40</v>
      </c>
    </row>
    <row r="44" s="1" customFormat="true" ht="15.75" hidden="false" customHeight="true" outlineLevel="0" collapsed="false">
      <c r="A44" s="1" t="s">
        <v>166</v>
      </c>
      <c r="B44" s="4" t="n">
        <v>94</v>
      </c>
      <c r="C44" s="4" t="n">
        <v>9.7</v>
      </c>
      <c r="D44" s="9" t="n">
        <v>40</v>
      </c>
    </row>
    <row r="45" s="1" customFormat="true" ht="15.75" hidden="false" customHeight="true" outlineLevel="0" collapsed="false">
      <c r="A45" s="1" t="s">
        <v>164</v>
      </c>
      <c r="B45" s="4" t="n">
        <v>93.1</v>
      </c>
      <c r="C45" s="4" t="n">
        <v>9.7</v>
      </c>
      <c r="D45" s="9" t="n">
        <v>39</v>
      </c>
    </row>
    <row r="46" s="1" customFormat="true" ht="15.75" hidden="false" customHeight="true" outlineLevel="0" collapsed="false">
      <c r="A46" s="1" t="s">
        <v>165</v>
      </c>
      <c r="B46" s="4" t="n">
        <v>93.5</v>
      </c>
      <c r="C46" s="4" t="n">
        <v>9.1</v>
      </c>
      <c r="D46" s="9" t="n">
        <v>40</v>
      </c>
    </row>
    <row r="47" s="1" customFormat="true" ht="15.75" hidden="false" customHeight="true" outlineLevel="0" collapsed="false">
      <c r="A47" s="1" t="s">
        <v>163</v>
      </c>
      <c r="B47" s="4" t="n">
        <v>94.5</v>
      </c>
      <c r="C47" s="4" t="n">
        <v>11.9</v>
      </c>
      <c r="D47" s="9" t="n">
        <v>40</v>
      </c>
    </row>
    <row r="48" s="1" customFormat="true" ht="15.75" hidden="false" customHeight="true" outlineLevel="0" collapsed="false">
      <c r="A48" s="1" t="s">
        <v>167</v>
      </c>
      <c r="B48" s="4" t="n">
        <v>94.7</v>
      </c>
      <c r="C48" s="4" t="n">
        <v>8.4</v>
      </c>
      <c r="D48" s="9" t="n">
        <v>40</v>
      </c>
    </row>
    <row r="49" s="1" customFormat="true" ht="15.75" hidden="false" customHeight="true" outlineLevel="0" collapsed="false"/>
    <row r="50" s="1" customFormat="true" ht="15.75" hidden="false" customHeight="true" outlineLevel="0" collapsed="false">
      <c r="A50" s="1" t="s">
        <v>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8" min="1" style="1" width="14.57"/>
  </cols>
  <sheetData>
    <row r="1" s="1" customFormat="true" ht="15" hidden="false" customHeight="true" outlineLevel="0" collapsed="false">
      <c r="A1" s="2" t="s">
        <v>230</v>
      </c>
    </row>
    <row r="2" s="1" customFormat="true" ht="15" hidden="false" customHeight="true" outlineLevel="0" collapsed="false">
      <c r="A2" s="2" t="s">
        <v>169</v>
      </c>
      <c r="B2" s="2" t="s">
        <v>231</v>
      </c>
      <c r="C2" s="2" t="s">
        <v>232</v>
      </c>
      <c r="D2" s="2" t="s">
        <v>233</v>
      </c>
      <c r="E2" s="2" t="s">
        <v>234</v>
      </c>
      <c r="F2" s="2" t="s">
        <v>235</v>
      </c>
      <c r="G2" s="2" t="s">
        <v>236</v>
      </c>
      <c r="H2" s="2" t="s">
        <v>237</v>
      </c>
    </row>
    <row r="3" s="1" customFormat="true" ht="15" hidden="false" customHeight="true" outlineLevel="0" collapsed="false">
      <c r="A3" s="1" t="s">
        <v>107</v>
      </c>
      <c r="B3" s="3" t="n">
        <f aca="false">LN(Assumptions!$B$12/Assumptions!$B$11)</f>
        <v>1.02629162708848</v>
      </c>
      <c r="C3" s="3" t="n">
        <f aca="false">IF(Corpus!R3="5x",LN(Assumptions!$B$14/Assumptions!$B$13),0)</f>
        <v>0</v>
      </c>
      <c r="D3" s="3" t="n">
        <f aca="false">LN(Assumptions!$B$16/Assumptions!$B$15)</f>
        <v>0.080852096629095</v>
      </c>
      <c r="E3" s="3" t="n">
        <f aca="false">LN(Bootstrap!E3/Bootstrap!D3)</f>
        <v>0.289095622572481</v>
      </c>
      <c r="F3" s="3" t="n">
        <f aca="false">IF(Corpus!Q3="None",0,LN(Bootstrap!L3/Bootstrap!K3))</f>
        <v>0</v>
      </c>
      <c r="G3" s="3" t="n">
        <f aca="false">SUM(B3:F3)</f>
        <v>1.39623934629006</v>
      </c>
      <c r="H3" s="5" t="n">
        <f aca="false">EXP(G3)</f>
        <v>4.03997840349841</v>
      </c>
    </row>
    <row r="4" s="1" customFormat="true" ht="15" hidden="false" customHeight="true" outlineLevel="0" collapsed="false">
      <c r="A4" s="1" t="s">
        <v>110</v>
      </c>
      <c r="B4" s="3" t="n">
        <f aca="false">LN(Assumptions!$B$12/Assumptions!$B$11)</f>
        <v>1.02629162708848</v>
      </c>
      <c r="C4" s="3" t="n">
        <f aca="false">IF(Corpus!R4="5x",LN(Assumptions!$B$14/Assumptions!$B$13),0)</f>
        <v>1.02692036021199</v>
      </c>
      <c r="D4" s="3" t="n">
        <f aca="false">LN(Assumptions!$B$16/Assumptions!$B$15)</f>
        <v>0.080852096629095</v>
      </c>
      <c r="E4" s="3" t="n">
        <f aca="false">LN(Bootstrap!E4/Bootstrap!D4)</f>
        <v>0.23829823936999</v>
      </c>
      <c r="F4" s="3" t="n">
        <f aca="false">IF(Corpus!Q4="None",0,LN(Bootstrap!L4/Bootstrap!K4))</f>
        <v>0</v>
      </c>
      <c r="G4" s="3" t="n">
        <f aca="false">SUM(B4:F4)</f>
        <v>2.37236232329956</v>
      </c>
      <c r="H4" s="5" t="n">
        <f aca="false">EXP(G4)</f>
        <v>10.722692855447</v>
      </c>
    </row>
    <row r="5" s="1" customFormat="true" ht="15" hidden="false" customHeight="true" outlineLevel="0" collapsed="false">
      <c r="A5" s="1" t="s">
        <v>113</v>
      </c>
      <c r="B5" s="3" t="n">
        <f aca="false">LN(Assumptions!$B$12/Assumptions!$B$11)</f>
        <v>1.02629162708848</v>
      </c>
      <c r="C5" s="3" t="n">
        <f aca="false">IF(Corpus!R5="5x",LN(Assumptions!$B$14/Assumptions!$B$13),0)</f>
        <v>1.02692036021199</v>
      </c>
      <c r="D5" s="3" t="n">
        <f aca="false">LN(Assumptions!$B$16/Assumptions!$B$15)</f>
        <v>0.080852096629095</v>
      </c>
      <c r="E5" s="3" t="n">
        <f aca="false">LN(Bootstrap!E5/Bootstrap!D5)</f>
        <v>0.241784528047694</v>
      </c>
      <c r="F5" s="3" t="n">
        <f aca="false">IF(Corpus!Q5="None",0,LN(Bootstrap!L5/Bootstrap!K5))</f>
        <v>0.0628661723847812</v>
      </c>
      <c r="G5" s="3" t="n">
        <f aca="false">SUM(B5:F5)</f>
        <v>2.43871478436205</v>
      </c>
      <c r="H5" s="5" t="n">
        <f aca="false">EXP(G5)</f>
        <v>11.4583048828245</v>
      </c>
    </row>
    <row r="6" s="1" customFormat="true" ht="15" hidden="false" customHeight="true" outlineLevel="0" collapsed="false">
      <c r="A6" s="1" t="s">
        <v>115</v>
      </c>
      <c r="B6" s="3" t="n">
        <f aca="false">LN(Assumptions!$B$12/Assumptions!$B$11)</f>
        <v>1.02629162708848</v>
      </c>
      <c r="C6" s="3" t="n">
        <f aca="false">IF(Corpus!R6="5x",LN(Assumptions!$B$14/Assumptions!$B$13),0)</f>
        <v>1.02692036021199</v>
      </c>
      <c r="D6" s="3" t="n">
        <f aca="false">LN(Assumptions!$B$16/Assumptions!$B$15)</f>
        <v>0.080852096629095</v>
      </c>
      <c r="E6" s="3" t="n">
        <f aca="false">LN(Bootstrap!E6/Bootstrap!D6)</f>
        <v>0.238775315352384</v>
      </c>
      <c r="F6" s="3" t="n">
        <f aca="false">IF(Corpus!Q6="None",0,LN(Bootstrap!L6/Bootstrap!K6))</f>
        <v>0.164320123275298</v>
      </c>
      <c r="G6" s="3" t="n">
        <f aca="false">SUM(B6:F6)</f>
        <v>2.53715952255725</v>
      </c>
      <c r="H6" s="5" t="n">
        <f aca="false">EXP(G6)</f>
        <v>12.6437057548337</v>
      </c>
    </row>
    <row r="7" s="1" customFormat="true" ht="15" hidden="false" customHeight="true" outlineLevel="0" collapsed="false">
      <c r="A7" s="1" t="s">
        <v>117</v>
      </c>
      <c r="B7" s="3" t="n">
        <f aca="false">LN(Assumptions!$B$12/Assumptions!$B$11)</f>
        <v>1.02629162708848</v>
      </c>
      <c r="C7" s="3" t="n">
        <f aca="false">IF(Corpus!R7="5x",LN(Assumptions!$B$14/Assumptions!$B$13),0)</f>
        <v>1.02692036021199</v>
      </c>
      <c r="D7" s="3" t="n">
        <f aca="false">LN(Assumptions!$B$16/Assumptions!$B$15)</f>
        <v>0.080852096629095</v>
      </c>
      <c r="E7" s="3" t="n">
        <f aca="false">LN(Bootstrap!E7/Bootstrap!D7)</f>
        <v>0.23206557691773</v>
      </c>
      <c r="F7" s="3" t="n">
        <f aca="false">IF(Corpus!Q7="None",0,LN(Bootstrap!L7/Bootstrap!K7))</f>
        <v>0.10784952905706</v>
      </c>
      <c r="G7" s="3" t="n">
        <f aca="false">SUM(B7:F7)</f>
        <v>2.47397918990436</v>
      </c>
      <c r="H7" s="5" t="n">
        <f aca="false">EXP(G7)</f>
        <v>11.8695843351047</v>
      </c>
    </row>
    <row r="8" s="1" customFormat="true" ht="15" hidden="false" customHeight="true" outlineLevel="0" collapsed="false">
      <c r="A8" s="1" t="s">
        <v>119</v>
      </c>
      <c r="B8" s="3" t="n">
        <f aca="false">LN(Assumptions!$B$12/Assumptions!$B$11)</f>
        <v>1.02629162708848</v>
      </c>
      <c r="C8" s="3" t="n">
        <f aca="false">IF(Corpus!R8="5x",LN(Assumptions!$B$14/Assumptions!$B$13),0)</f>
        <v>1.02692036021199</v>
      </c>
      <c r="D8" s="3" t="n">
        <f aca="false">LN(Assumptions!$B$16/Assumptions!$B$15)</f>
        <v>0.080852096629095</v>
      </c>
      <c r="E8" s="3" t="n">
        <f aca="false">LN(Bootstrap!E8/Bootstrap!D8)</f>
        <v>0.235862323721984</v>
      </c>
      <c r="F8" s="3" t="n">
        <f aca="false">IF(Corpus!Q8="None",0,LN(Bootstrap!L8/Bootstrap!K8))</f>
        <v>0.134829732786503</v>
      </c>
      <c r="G8" s="3" t="n">
        <f aca="false">SUM(B8:F8)</f>
        <v>2.50475614043806</v>
      </c>
      <c r="H8" s="5" t="n">
        <f aca="false">EXP(G8)</f>
        <v>12.2405736208923</v>
      </c>
    </row>
    <row r="9" s="1" customFormat="true" ht="15" hidden="false" customHeight="true" outlineLevel="0" collapsed="false">
      <c r="A9" s="1" t="s">
        <v>121</v>
      </c>
      <c r="B9" s="3" t="n">
        <f aca="false">LN(Assumptions!$B$12/Assumptions!$B$11)</f>
        <v>1.02629162708848</v>
      </c>
      <c r="C9" s="3" t="n">
        <f aca="false">IF(Corpus!R9="5x",LN(Assumptions!$B$14/Assumptions!$B$13),0)</f>
        <v>1.02692036021199</v>
      </c>
      <c r="D9" s="3" t="n">
        <f aca="false">LN(Assumptions!$B$16/Assumptions!$B$15)</f>
        <v>0.080852096629095</v>
      </c>
      <c r="E9" s="3" t="n">
        <f aca="false">LN(Bootstrap!E9/Bootstrap!D9)</f>
        <v>0.215683437156913</v>
      </c>
      <c r="F9" s="3" t="n">
        <f aca="false">IF(Corpus!Q9="None",0,LN(Bootstrap!L9/Bootstrap!K9))</f>
        <v>0</v>
      </c>
      <c r="G9" s="3" t="n">
        <f aca="false">SUM(B9:F9)</f>
        <v>2.34974752108648</v>
      </c>
      <c r="H9" s="5" t="n">
        <f aca="false">EXP(G9)</f>
        <v>10.4829226736522</v>
      </c>
    </row>
    <row r="10" s="1" customFormat="true" ht="15" hidden="false" customHeight="true" outlineLevel="0" collapsed="false">
      <c r="A10" s="1" t="s">
        <v>123</v>
      </c>
      <c r="B10" s="3" t="n">
        <f aca="false">LN(Assumptions!$B$12/Assumptions!$B$11)</f>
        <v>1.02629162708848</v>
      </c>
      <c r="C10" s="3" t="n">
        <f aca="false">IF(Corpus!R10="5x",LN(Assumptions!$B$14/Assumptions!$B$13),0)</f>
        <v>1.02692036021199</v>
      </c>
      <c r="D10" s="3" t="n">
        <f aca="false">LN(Assumptions!$B$16/Assumptions!$B$15)</f>
        <v>0.080852096629095</v>
      </c>
      <c r="E10" s="3" t="n">
        <f aca="false">LN(Bootstrap!E10/Bootstrap!D10)</f>
        <v>0.217812941285553</v>
      </c>
      <c r="F10" s="3" t="n">
        <f aca="false">IF(Corpus!Q10="None",0,LN(Bootstrap!L10/Bootstrap!K10))</f>
        <v>0.0536527134923202</v>
      </c>
      <c r="G10" s="3" t="n">
        <f aca="false">SUM(B10:F10)</f>
        <v>2.40552973870745</v>
      </c>
      <c r="H10" s="5" t="n">
        <f aca="false">EXP(G10)</f>
        <v>11.0843005102309</v>
      </c>
    </row>
    <row r="11" s="1" customFormat="true" ht="15" hidden="false" customHeight="true" outlineLevel="0" collapsed="false">
      <c r="A11" s="1" t="s">
        <v>124</v>
      </c>
      <c r="B11" s="3" t="n">
        <f aca="false">LN(Assumptions!$B$12/Assumptions!$B$11)</f>
        <v>1.02629162708848</v>
      </c>
      <c r="C11" s="3" t="n">
        <f aca="false">IF(Corpus!R11="5x",LN(Assumptions!$B$14/Assumptions!$B$13),0)</f>
        <v>1.02692036021199</v>
      </c>
      <c r="D11" s="3" t="n">
        <f aca="false">LN(Assumptions!$B$16/Assumptions!$B$15)</f>
        <v>0.080852096629095</v>
      </c>
      <c r="E11" s="3" t="n">
        <f aca="false">LN(Bootstrap!E11/Bootstrap!D11)</f>
        <v>0.213450133444072</v>
      </c>
      <c r="F11" s="3" t="n">
        <f aca="false">IF(Corpus!Q11="None",0,LN(Bootstrap!L11/Bootstrap!K11))</f>
        <v>0.0325012357824813</v>
      </c>
      <c r="G11" s="3" t="n">
        <f aca="false">SUM(B11:F11)</f>
        <v>2.38001545315613</v>
      </c>
      <c r="H11" s="5" t="n">
        <f aca="false">EXP(G11)</f>
        <v>10.8050698350722</v>
      </c>
    </row>
    <row r="12" s="1" customFormat="true" ht="15" hidden="false" customHeight="true" outlineLevel="0" collapsed="false">
      <c r="A12" s="1" t="s">
        <v>125</v>
      </c>
      <c r="B12" s="3" t="n">
        <f aca="false">LN(Assumptions!$B$12/Assumptions!$B$11)</f>
        <v>1.02629162708848</v>
      </c>
      <c r="C12" s="3" t="n">
        <f aca="false">IF(Corpus!R12="5x",LN(Assumptions!$B$14/Assumptions!$B$13),0)</f>
        <v>1.02692036021199</v>
      </c>
      <c r="D12" s="3" t="n">
        <f aca="false">LN(Assumptions!$B$16/Assumptions!$B$15)</f>
        <v>0.080852096629095</v>
      </c>
      <c r="E12" s="3" t="n">
        <f aca="false">LN(Bootstrap!E12/Bootstrap!D12)</f>
        <v>0.202135083332092</v>
      </c>
      <c r="F12" s="3" t="n">
        <f aca="false">IF(Corpus!Q12="None",0,LN(Bootstrap!L12/Bootstrap!K12))</f>
        <v>0.0438115086116263</v>
      </c>
      <c r="G12" s="3" t="n">
        <f aca="false">SUM(B12:F12)</f>
        <v>2.38001067587329</v>
      </c>
      <c r="H12" s="5" t="n">
        <f aca="false">EXP(G12)</f>
        <v>10.8050182163209</v>
      </c>
    </row>
    <row r="13" s="1" customFormat="true" ht="15" hidden="false" customHeight="true" outlineLevel="0" collapsed="false">
      <c r="A13" s="1" t="s">
        <v>126</v>
      </c>
      <c r="B13" s="3" t="n">
        <f aca="false">LN(Assumptions!$B$12/Assumptions!$B$11)</f>
        <v>1.02629162708848</v>
      </c>
      <c r="C13" s="3" t="n">
        <f aca="false">IF(Corpus!R13="5x",LN(Assumptions!$B$14/Assumptions!$B$13),0)</f>
        <v>1.02692036021199</v>
      </c>
      <c r="D13" s="3" t="n">
        <f aca="false">LN(Assumptions!$B$16/Assumptions!$B$15)</f>
        <v>0.080852096629095</v>
      </c>
      <c r="E13" s="3" t="n">
        <f aca="false">LN(Bootstrap!E13/Bootstrap!D13)</f>
        <v>0.213424781936103</v>
      </c>
      <c r="F13" s="3" t="n">
        <f aca="false">IF(Corpus!Q13="None",0,LN(Bootstrap!L13/Bootstrap!K13))</f>
        <v>0.0988547203266731</v>
      </c>
      <c r="G13" s="3" t="n">
        <f aca="false">SUM(B13:F13)</f>
        <v>2.44634358619235</v>
      </c>
      <c r="H13" s="5" t="n">
        <f aca="false">EXP(G13)</f>
        <v>11.5460522983444</v>
      </c>
    </row>
    <row r="14" s="1" customFormat="true" ht="15" hidden="false" customHeight="true" outlineLevel="0" collapsed="false">
      <c r="A14" s="1" t="s">
        <v>127</v>
      </c>
      <c r="B14" s="3" t="n">
        <f aca="false">LN(Assumptions!$B$12/Assumptions!$B$11)</f>
        <v>1.02629162708848</v>
      </c>
      <c r="C14" s="3" t="n">
        <f aca="false">IF(Corpus!R14="5x",LN(Assumptions!$B$14/Assumptions!$B$13),0)</f>
        <v>1.02692036021199</v>
      </c>
      <c r="D14" s="3" t="n">
        <f aca="false">LN(Assumptions!$B$16/Assumptions!$B$15)</f>
        <v>0.080852096629095</v>
      </c>
      <c r="E14" s="3" t="n">
        <f aca="false">LN(Bootstrap!E14/Bootstrap!D14)</f>
        <v>0.222919159974774</v>
      </c>
      <c r="F14" s="3" t="n">
        <f aca="false">IF(Corpus!Q14="None",0,LN(Bootstrap!L14/Bootstrap!K14))</f>
        <v>0</v>
      </c>
      <c r="G14" s="3" t="n">
        <f aca="false">SUM(B14:F14)</f>
        <v>2.35698324390435</v>
      </c>
      <c r="H14" s="5" t="n">
        <f aca="false">EXP(G14)</f>
        <v>10.5590492798124</v>
      </c>
    </row>
    <row r="15" s="1" customFormat="true" ht="15" hidden="false" customHeight="true" outlineLevel="0" collapsed="false">
      <c r="A15" s="1" t="s">
        <v>129</v>
      </c>
      <c r="B15" s="3" t="n">
        <f aca="false">LN(Assumptions!$B$12/Assumptions!$B$11)</f>
        <v>1.02629162708848</v>
      </c>
      <c r="C15" s="3" t="n">
        <f aca="false">IF(Corpus!R15="5x",LN(Assumptions!$B$14/Assumptions!$B$13),0)</f>
        <v>1.02692036021199</v>
      </c>
      <c r="D15" s="3" t="n">
        <f aca="false">LN(Assumptions!$B$16/Assumptions!$B$15)</f>
        <v>0.080852096629095</v>
      </c>
      <c r="E15" s="3" t="n">
        <f aca="false">LN(Bootstrap!E15/Bootstrap!D15)</f>
        <v>0.227870433388607</v>
      </c>
      <c r="F15" s="3" t="n">
        <f aca="false">IF(Corpus!Q15="None",0,LN(Bootstrap!L15/Bootstrap!K15))</f>
        <v>0.0298916346929334</v>
      </c>
      <c r="G15" s="3" t="n">
        <f aca="false">SUM(B15:F15)</f>
        <v>2.39182615201111</v>
      </c>
      <c r="H15" s="5" t="n">
        <f aca="false">EXP(G15)</f>
        <v>10.9334418503663</v>
      </c>
    </row>
    <row r="16" s="1" customFormat="true" ht="15" hidden="false" customHeight="true" outlineLevel="0" collapsed="false">
      <c r="A16" s="1" t="s">
        <v>130</v>
      </c>
      <c r="B16" s="3" t="n">
        <f aca="false">LN(Assumptions!$B$12/Assumptions!$B$11)</f>
        <v>1.02629162708848</v>
      </c>
      <c r="C16" s="3" t="n">
        <f aca="false">IF(Corpus!R16="5x",LN(Assumptions!$B$14/Assumptions!$B$13),0)</f>
        <v>1.02692036021199</v>
      </c>
      <c r="D16" s="3" t="n">
        <f aca="false">LN(Assumptions!$B$16/Assumptions!$B$15)</f>
        <v>0.080852096629095</v>
      </c>
      <c r="E16" s="3" t="n">
        <f aca="false">LN(Bootstrap!E16/Bootstrap!D16)</f>
        <v>0.209735554230546</v>
      </c>
      <c r="F16" s="3" t="n">
        <f aca="false">IF(Corpus!Q16="None",0,LN(Bootstrap!L16/Bootstrap!K16))</f>
        <v>0.0321706064558936</v>
      </c>
      <c r="G16" s="3" t="n">
        <f aca="false">SUM(B16:F16)</f>
        <v>2.37597024461601</v>
      </c>
      <c r="H16" s="5" t="n">
        <f aca="false">EXP(G16)</f>
        <v>10.7614493607393</v>
      </c>
    </row>
    <row r="17" s="1" customFormat="true" ht="15" hidden="false" customHeight="true" outlineLevel="0" collapsed="false">
      <c r="A17" s="1" t="s">
        <v>131</v>
      </c>
      <c r="B17" s="3" t="n">
        <f aca="false">LN(Assumptions!$B$12/Assumptions!$B$11)</f>
        <v>1.02629162708848</v>
      </c>
      <c r="C17" s="3" t="n">
        <f aca="false">IF(Corpus!R17="5x",LN(Assumptions!$B$14/Assumptions!$B$13),0)</f>
        <v>1.02692036021199</v>
      </c>
      <c r="D17" s="3" t="n">
        <f aca="false">LN(Assumptions!$B$16/Assumptions!$B$15)</f>
        <v>0.080852096629095</v>
      </c>
      <c r="E17" s="3" t="n">
        <f aca="false">LN(Bootstrap!E17/Bootstrap!D17)</f>
        <v>0.230680678311446</v>
      </c>
      <c r="F17" s="3" t="n">
        <f aca="false">IF(Corpus!Q17="None",0,LN(Bootstrap!L17/Bootstrap!K17))</f>
        <v>0.0578881584330063</v>
      </c>
      <c r="G17" s="3" t="n">
        <f aca="false">SUM(B17:F17)</f>
        <v>2.42263292067402</v>
      </c>
      <c r="H17" s="5" t="n">
        <f aca="false">EXP(G17)</f>
        <v>11.2755077842756</v>
      </c>
    </row>
    <row r="18" s="1" customFormat="true" ht="15" hidden="false" customHeight="true" outlineLevel="0" collapsed="false">
      <c r="A18" s="1" t="s">
        <v>132</v>
      </c>
      <c r="B18" s="3" t="n">
        <f aca="false">LN(Assumptions!$B$12/Assumptions!$B$11)</f>
        <v>1.02629162708848</v>
      </c>
      <c r="C18" s="3" t="n">
        <f aca="false">IF(Corpus!R18="5x",LN(Assumptions!$B$14/Assumptions!$B$13),0)</f>
        <v>1.02692036021199</v>
      </c>
      <c r="D18" s="3" t="n">
        <f aca="false">LN(Assumptions!$B$16/Assumptions!$B$15)</f>
        <v>0.080852096629095</v>
      </c>
      <c r="E18" s="3" t="n">
        <f aca="false">LN(Bootstrap!E18/Bootstrap!D18)</f>
        <v>0.238569383242157</v>
      </c>
      <c r="F18" s="3" t="n">
        <f aca="false">IF(Corpus!Q18="None",0,LN(Bootstrap!L18/Bootstrap!K18))</f>
        <v>0.0638804784974222</v>
      </c>
      <c r="G18" s="3" t="n">
        <f aca="false">SUM(B18:F18)</f>
        <v>2.43651394566915</v>
      </c>
      <c r="H18" s="5" t="n">
        <f aca="false">EXP(G18)</f>
        <v>11.4331147319805</v>
      </c>
    </row>
    <row r="19" s="1" customFormat="true" ht="15" hidden="false" customHeight="true" outlineLevel="0" collapsed="false">
      <c r="A19" s="1" t="s">
        <v>133</v>
      </c>
      <c r="B19" s="3" t="n">
        <f aca="false">LN(Assumptions!$B$12/Assumptions!$B$11)</f>
        <v>1.02629162708848</v>
      </c>
      <c r="C19" s="3" t="n">
        <f aca="false">IF(Corpus!R19="5x",LN(Assumptions!$B$14/Assumptions!$B$13),0)</f>
        <v>1.02692036021199</v>
      </c>
      <c r="D19" s="3" t="n">
        <f aca="false">LN(Assumptions!$B$16/Assumptions!$B$15)</f>
        <v>0.080852096629095</v>
      </c>
      <c r="E19" s="3" t="n">
        <f aca="false">LN(Bootstrap!E19/Bootstrap!D19)</f>
        <v>0.211796451508747</v>
      </c>
      <c r="F19" s="3" t="n">
        <f aca="false">IF(Corpus!Q19="None",0,LN(Bootstrap!L19/Bootstrap!K19))</f>
        <v>0</v>
      </c>
      <c r="G19" s="3" t="n">
        <f aca="false">SUM(B19:F19)</f>
        <v>2.34586053543832</v>
      </c>
      <c r="H19" s="5" t="n">
        <f aca="false">EXP(G19)</f>
        <v>10.442254792607</v>
      </c>
    </row>
    <row r="20" s="1" customFormat="true" ht="15" hidden="false" customHeight="true" outlineLevel="0" collapsed="false">
      <c r="A20" s="1" t="s">
        <v>135</v>
      </c>
      <c r="B20" s="3" t="n">
        <f aca="false">LN(Assumptions!$B$12/Assumptions!$B$11)</f>
        <v>1.02629162708848</v>
      </c>
      <c r="C20" s="3" t="n">
        <f aca="false">IF(Corpus!R20="5x",LN(Assumptions!$B$14/Assumptions!$B$13),0)</f>
        <v>1.02692036021199</v>
      </c>
      <c r="D20" s="3" t="n">
        <f aca="false">LN(Assumptions!$B$16/Assumptions!$B$15)</f>
        <v>0.080852096629095</v>
      </c>
      <c r="E20" s="3" t="n">
        <f aca="false">LN(Bootstrap!E20/Bootstrap!D20)</f>
        <v>0.208179564665334</v>
      </c>
      <c r="F20" s="3" t="n">
        <f aca="false">IF(Corpus!Q20="None",0,LN(Bootstrap!L20/Bootstrap!K20))</f>
        <v>0.0386357100250877</v>
      </c>
      <c r="G20" s="3" t="n">
        <f aca="false">SUM(B20:F20)</f>
        <v>2.38087935861999</v>
      </c>
      <c r="H20" s="5" t="n">
        <f aca="false">EXP(G20)</f>
        <v>10.8144084271898</v>
      </c>
    </row>
    <row r="21" s="1" customFormat="true" ht="15.75" hidden="false" customHeight="true" outlineLevel="0" collapsed="false">
      <c r="A21" s="1" t="s">
        <v>136</v>
      </c>
      <c r="B21" s="3" t="n">
        <f aca="false">LN(Assumptions!$B$12/Assumptions!$B$11)</f>
        <v>1.02629162708848</v>
      </c>
      <c r="C21" s="3" t="n">
        <f aca="false">IF(Corpus!R21="5x",LN(Assumptions!$B$14/Assumptions!$B$13),0)</f>
        <v>1.02692036021199</v>
      </c>
      <c r="D21" s="3" t="n">
        <f aca="false">LN(Assumptions!$B$16/Assumptions!$B$15)</f>
        <v>0.080852096629095</v>
      </c>
      <c r="E21" s="3" t="n">
        <f aca="false">LN(Bootstrap!E21/Bootstrap!D21)</f>
        <v>0.209747548638109</v>
      </c>
      <c r="F21" s="3" t="n">
        <f aca="false">IF(Corpus!Q21="None",0,LN(Bootstrap!L21/Bootstrap!K21))</f>
        <v>0.103769699497266</v>
      </c>
      <c r="G21" s="3" t="n">
        <f aca="false">SUM(B21:F21)</f>
        <v>2.44758133206495</v>
      </c>
      <c r="H21" s="5" t="n">
        <f aca="false">EXP(G21)</f>
        <v>11.5603522249334</v>
      </c>
    </row>
    <row r="22" s="1" customFormat="true" ht="15.75" hidden="false" customHeight="true" outlineLevel="0" collapsed="false">
      <c r="A22" s="1" t="s">
        <v>137</v>
      </c>
      <c r="B22" s="3" t="n">
        <f aca="false">LN(Assumptions!$B$12/Assumptions!$B$11)</f>
        <v>1.02629162708848</v>
      </c>
      <c r="C22" s="3" t="n">
        <f aca="false">IF(Corpus!R22="5x",LN(Assumptions!$B$14/Assumptions!$B$13),0)</f>
        <v>1.02692036021199</v>
      </c>
      <c r="D22" s="3" t="n">
        <f aca="false">LN(Assumptions!$B$16/Assumptions!$B$15)</f>
        <v>0.080852096629095</v>
      </c>
      <c r="E22" s="3" t="n">
        <f aca="false">LN(Bootstrap!E22/Bootstrap!D22)</f>
        <v>0.205420148523565</v>
      </c>
      <c r="F22" s="3" t="n">
        <f aca="false">IF(Corpus!Q22="None",0,LN(Bootstrap!L22/Bootstrap!K22))</f>
        <v>0.0776186967905756</v>
      </c>
      <c r="G22" s="3" t="n">
        <f aca="false">SUM(B22:F22)</f>
        <v>2.41710292924371</v>
      </c>
      <c r="H22" s="5" t="n">
        <f aca="false">EXP(G22)</f>
        <v>11.2133264125455</v>
      </c>
    </row>
    <row r="23" s="1" customFormat="true" ht="15.75" hidden="false" customHeight="true" outlineLevel="0" collapsed="false">
      <c r="A23" s="1" t="s">
        <v>138</v>
      </c>
      <c r="B23" s="3" t="n">
        <f aca="false">LN(Assumptions!$B$12/Assumptions!$B$11)</f>
        <v>1.02629162708848</v>
      </c>
      <c r="C23" s="3" t="n">
        <f aca="false">IF(Corpus!R23="5x",LN(Assumptions!$B$14/Assumptions!$B$13),0)</f>
        <v>1.02692036021199</v>
      </c>
      <c r="D23" s="3" t="n">
        <f aca="false">LN(Assumptions!$B$16/Assumptions!$B$15)</f>
        <v>0.080852096629095</v>
      </c>
      <c r="E23" s="3" t="n">
        <f aca="false">LN(Bootstrap!E23/Bootstrap!D23)</f>
        <v>0.328228360238139</v>
      </c>
      <c r="F23" s="3" t="n">
        <f aca="false">IF(Corpus!Q23="None",0,LN(Bootstrap!L23/Bootstrap!K23))</f>
        <v>0.476853353858236</v>
      </c>
      <c r="G23" s="3" t="n">
        <f aca="false">SUM(B23:F23)</f>
        <v>2.93914579802595</v>
      </c>
      <c r="H23" s="5" t="n">
        <f aca="false">EXP(G23)</f>
        <v>18.8996952581074</v>
      </c>
    </row>
    <row r="24" s="1" customFormat="true" ht="15.75" hidden="false" customHeight="true" outlineLevel="0" collapsed="false">
      <c r="A24" s="1" t="s">
        <v>139</v>
      </c>
      <c r="B24" s="3" t="n">
        <f aca="false">LN(Assumptions!$B$12/Assumptions!$B$11)</f>
        <v>1.02629162708848</v>
      </c>
      <c r="C24" s="3" t="n">
        <f aca="false">IF(Corpus!R24="5x",LN(Assumptions!$B$14/Assumptions!$B$13),0)</f>
        <v>1.02692036021199</v>
      </c>
      <c r="D24" s="3" t="n">
        <f aca="false">LN(Assumptions!$B$16/Assumptions!$B$15)</f>
        <v>0.080852096629095</v>
      </c>
      <c r="E24" s="3" t="n">
        <f aca="false">LN(Bootstrap!E24/Bootstrap!D24)</f>
        <v>0.233810734827246</v>
      </c>
      <c r="F24" s="3" t="n">
        <f aca="false">IF(Corpus!Q24="None",0,LN(Bootstrap!L24/Bootstrap!K24))</f>
        <v>0</v>
      </c>
      <c r="G24" s="3" t="n">
        <f aca="false">SUM(B24:F24)</f>
        <v>2.36787481875682</v>
      </c>
      <c r="H24" s="5" t="n">
        <f aca="false">EXP(G24)</f>
        <v>10.6746825264006</v>
      </c>
    </row>
    <row r="25" s="1" customFormat="true" ht="15.75" hidden="false" customHeight="true" outlineLevel="0" collapsed="false">
      <c r="A25" s="1" t="s">
        <v>141</v>
      </c>
      <c r="B25" s="3" t="n">
        <f aca="false">LN(Assumptions!$B$12/Assumptions!$B$11)</f>
        <v>1.02629162708848</v>
      </c>
      <c r="C25" s="3" t="n">
        <f aca="false">IF(Corpus!R25="5x",LN(Assumptions!$B$14/Assumptions!$B$13),0)</f>
        <v>1.02692036021199</v>
      </c>
      <c r="D25" s="3" t="n">
        <f aca="false">LN(Assumptions!$B$16/Assumptions!$B$15)</f>
        <v>0.080852096629095</v>
      </c>
      <c r="E25" s="3" t="n">
        <f aca="false">LN(Bootstrap!E25/Bootstrap!D25)</f>
        <v>0.211372895625949</v>
      </c>
      <c r="F25" s="3" t="n">
        <f aca="false">IF(Corpus!Q25="None",0,LN(Bootstrap!L25/Bootstrap!K25))</f>
        <v>0.0223450693495023</v>
      </c>
      <c r="G25" s="3" t="n">
        <f aca="false">SUM(B25:F25)</f>
        <v>2.36778204890502</v>
      </c>
      <c r="H25" s="5" t="n">
        <f aca="false">EXP(G25)</f>
        <v>10.6736922836178</v>
      </c>
    </row>
    <row r="26" s="1" customFormat="true" ht="15.75" hidden="false" customHeight="true" outlineLevel="0" collapsed="false">
      <c r="A26" s="1" t="s">
        <v>142</v>
      </c>
      <c r="B26" s="3" t="n">
        <f aca="false">LN(Assumptions!$B$12/Assumptions!$B$11)</f>
        <v>1.02629162708848</v>
      </c>
      <c r="C26" s="3" t="n">
        <f aca="false">IF(Corpus!R26="5x",LN(Assumptions!$B$14/Assumptions!$B$13),0)</f>
        <v>1.02692036021199</v>
      </c>
      <c r="D26" s="3" t="n">
        <f aca="false">LN(Assumptions!$B$16/Assumptions!$B$15)</f>
        <v>0.080852096629095</v>
      </c>
      <c r="E26" s="3" t="n">
        <f aca="false">LN(Bootstrap!E26/Bootstrap!D26)</f>
        <v>0.231042988587335</v>
      </c>
      <c r="F26" s="3" t="n">
        <f aca="false">IF(Corpus!Q26="None",0,LN(Bootstrap!L26/Bootstrap!K26))</f>
        <v>0.0563304172302571</v>
      </c>
      <c r="G26" s="3" t="n">
        <f aca="false">SUM(B26:F26)</f>
        <v>2.42143748974716</v>
      </c>
      <c r="H26" s="5" t="n">
        <f aca="false">EXP(G26)</f>
        <v>11.2620367470057</v>
      </c>
    </row>
    <row r="27" s="1" customFormat="true" ht="15.75" hidden="false" customHeight="true" outlineLevel="0" collapsed="false">
      <c r="A27" s="1" t="s">
        <v>143</v>
      </c>
      <c r="B27" s="3" t="n">
        <f aca="false">LN(Assumptions!$B$12/Assumptions!$B$11)</f>
        <v>1.02629162708848</v>
      </c>
      <c r="C27" s="3" t="n">
        <f aca="false">IF(Corpus!R27="5x",LN(Assumptions!$B$14/Assumptions!$B$13),0)</f>
        <v>1.02692036021199</v>
      </c>
      <c r="D27" s="3" t="n">
        <f aca="false">LN(Assumptions!$B$16/Assumptions!$B$15)</f>
        <v>0.080852096629095</v>
      </c>
      <c r="E27" s="3" t="n">
        <f aca="false">LN(Bootstrap!E27/Bootstrap!D27)</f>
        <v>0.212047266882573</v>
      </c>
      <c r="F27" s="3" t="n">
        <f aca="false">IF(Corpus!Q27="None",0,LN(Bootstrap!L27/Bootstrap!K27))</f>
        <v>0.0970416199055661</v>
      </c>
      <c r="G27" s="3" t="n">
        <f aca="false">SUM(B27:F27)</f>
        <v>2.44315297071771</v>
      </c>
      <c r="H27" s="5" t="n">
        <f aca="false">EXP(G27)</f>
        <v>11.5092719923191</v>
      </c>
    </row>
    <row r="28" s="1" customFormat="true" ht="15.75" hidden="false" customHeight="true" outlineLevel="0" collapsed="false">
      <c r="A28" s="1" t="s">
        <v>144</v>
      </c>
      <c r="B28" s="3" t="n">
        <f aca="false">LN(Assumptions!$B$12/Assumptions!$B$11)</f>
        <v>1.02629162708848</v>
      </c>
      <c r="C28" s="3" t="n">
        <f aca="false">IF(Corpus!R28="5x",LN(Assumptions!$B$14/Assumptions!$B$13),0)</f>
        <v>1.02692036021199</v>
      </c>
      <c r="D28" s="3" t="n">
        <f aca="false">LN(Assumptions!$B$16/Assumptions!$B$15)</f>
        <v>0.080852096629095</v>
      </c>
      <c r="E28" s="3" t="n">
        <f aca="false">LN(Bootstrap!E28/Bootstrap!D28)</f>
        <v>0.219418161162103</v>
      </c>
      <c r="F28" s="3" t="n">
        <f aca="false">IF(Corpus!Q28="None",0,LN(Bootstrap!L28/Bootstrap!K28))</f>
        <v>0.1429599042796</v>
      </c>
      <c r="G28" s="3" t="n">
        <f aca="false">SUM(B28:F28)</f>
        <v>2.49644214937128</v>
      </c>
      <c r="H28" s="5" t="n">
        <f aca="false">EXP(G28)</f>
        <v>12.1392274803831</v>
      </c>
    </row>
    <row r="29" s="1" customFormat="true" ht="15.75" hidden="false" customHeight="true" outlineLevel="0" collapsed="false">
      <c r="A29" s="1" t="s">
        <v>145</v>
      </c>
      <c r="B29" s="3" t="n">
        <f aca="false">LN(Assumptions!$B$12/Assumptions!$B$11)</f>
        <v>1.02629162708848</v>
      </c>
      <c r="C29" s="3" t="n">
        <f aca="false">IF(Corpus!R29="5x",LN(Assumptions!$B$14/Assumptions!$B$13),0)</f>
        <v>1.02692036021199</v>
      </c>
      <c r="D29" s="3" t="n">
        <f aca="false">LN(Assumptions!$B$16/Assumptions!$B$15)</f>
        <v>0.080852096629095</v>
      </c>
      <c r="E29" s="3" t="n">
        <f aca="false">LN(Bootstrap!E29/Bootstrap!D29)</f>
        <v>0.223884599819429</v>
      </c>
      <c r="F29" s="3" t="n">
        <f aca="false">IF(Corpus!Q29="None",0,LN(Bootstrap!L29/Bootstrap!K29))</f>
        <v>0.14830764169861</v>
      </c>
      <c r="G29" s="3" t="n">
        <f aca="false">SUM(B29:F29)</f>
        <v>2.50625632544761</v>
      </c>
      <c r="H29" s="5" t="n">
        <f aca="false">EXP(G29)</f>
        <v>12.2589505268796</v>
      </c>
    </row>
    <row r="30" s="1" customFormat="true" ht="15.75" hidden="false" customHeight="true" outlineLevel="0" collapsed="false">
      <c r="A30" s="1" t="s">
        <v>147</v>
      </c>
      <c r="B30" s="3" t="n">
        <f aca="false">LN(Assumptions!$B$12/Assumptions!$B$11)</f>
        <v>1.02629162708848</v>
      </c>
      <c r="C30" s="3" t="n">
        <f aca="false">IF(Corpus!R30="5x",LN(Assumptions!$B$14/Assumptions!$B$13),0)</f>
        <v>1.02692036021199</v>
      </c>
      <c r="D30" s="3" t="n">
        <f aca="false">LN(Assumptions!$B$16/Assumptions!$B$15)</f>
        <v>0.080852096629095</v>
      </c>
      <c r="E30" s="3" t="n">
        <f aca="false">LN(Bootstrap!E30/Bootstrap!D30)</f>
        <v>0.221243791006574</v>
      </c>
      <c r="F30" s="3" t="n">
        <f aca="false">IF(Corpus!Q30="None",0,LN(Bootstrap!L30/Bootstrap!K30))</f>
        <v>0.0368830430955599</v>
      </c>
      <c r="G30" s="3" t="n">
        <f aca="false">SUM(B30:F30)</f>
        <v>2.39219091803171</v>
      </c>
      <c r="H30" s="5" t="n">
        <f aca="false">EXP(G30)</f>
        <v>10.9374307259003</v>
      </c>
    </row>
    <row r="31" s="1" customFormat="true" ht="15.75" hidden="false" customHeight="true" outlineLevel="0" collapsed="false">
      <c r="A31" s="1" t="s">
        <v>148</v>
      </c>
      <c r="B31" s="3" t="n">
        <f aca="false">LN(Assumptions!$B$12/Assumptions!$B$11)</f>
        <v>1.02629162708848</v>
      </c>
      <c r="C31" s="3" t="n">
        <f aca="false">IF(Corpus!R31="5x",LN(Assumptions!$B$14/Assumptions!$B$13),0)</f>
        <v>1.02692036021199</v>
      </c>
      <c r="D31" s="3" t="n">
        <f aca="false">LN(Assumptions!$B$16/Assumptions!$B$15)</f>
        <v>0.080852096629095</v>
      </c>
      <c r="E31" s="3" t="n">
        <f aca="false">LN(Bootstrap!E31/Bootstrap!D31)</f>
        <v>0.224003493886835</v>
      </c>
      <c r="F31" s="3" t="n">
        <f aca="false">IF(Corpus!Q31="None",0,LN(Bootstrap!L31/Bootstrap!K31))</f>
        <v>0.174369844528383</v>
      </c>
      <c r="G31" s="3" t="n">
        <f aca="false">SUM(B31:F31)</f>
        <v>2.53243742234479</v>
      </c>
      <c r="H31" s="5" t="n">
        <f aca="false">EXP(G31)</f>
        <v>12.5841416537109</v>
      </c>
    </row>
    <row r="32" s="1" customFormat="true" ht="15.75" hidden="false" customHeight="true" outlineLevel="0" collapsed="false">
      <c r="A32" s="1" t="s">
        <v>149</v>
      </c>
      <c r="B32" s="3" t="n">
        <f aca="false">LN(Assumptions!$B$12/Assumptions!$B$11)</f>
        <v>1.02629162708848</v>
      </c>
      <c r="C32" s="3" t="n">
        <f aca="false">IF(Corpus!R32="5x",LN(Assumptions!$B$14/Assumptions!$B$13),0)</f>
        <v>1.02692036021199</v>
      </c>
      <c r="D32" s="3" t="n">
        <f aca="false">LN(Assumptions!$B$16/Assumptions!$B$15)</f>
        <v>0.080852096629095</v>
      </c>
      <c r="E32" s="3" t="n">
        <f aca="false">LN(Bootstrap!E32/Bootstrap!D32)</f>
        <v>0.221141773787654</v>
      </c>
      <c r="F32" s="3" t="n">
        <f aca="false">IF(Corpus!Q32="None",0,LN(Bootstrap!L32/Bootstrap!K32))</f>
        <v>0.0380327528516781</v>
      </c>
      <c r="G32" s="3" t="n">
        <f aca="false">SUM(B32:F32)</f>
        <v>2.3932386105689</v>
      </c>
      <c r="H32" s="5" t="n">
        <f aca="false">EXP(G32)</f>
        <v>10.9488957953331</v>
      </c>
    </row>
    <row r="33" s="1" customFormat="true" ht="15.75" hidden="false" customHeight="true" outlineLevel="0" collapsed="false">
      <c r="A33" s="1" t="s">
        <v>150</v>
      </c>
      <c r="B33" s="3" t="n">
        <f aca="false">LN(Assumptions!$B$12/Assumptions!$B$11)</f>
        <v>1.02629162708848</v>
      </c>
      <c r="C33" s="3" t="n">
        <f aca="false">IF(Corpus!R33="5x",LN(Assumptions!$B$14/Assumptions!$B$13),0)</f>
        <v>1.02692036021199</v>
      </c>
      <c r="D33" s="3" t="n">
        <f aca="false">LN(Assumptions!$B$16/Assumptions!$B$15)</f>
        <v>0.080852096629095</v>
      </c>
      <c r="E33" s="3" t="n">
        <f aca="false">LN(Bootstrap!E33/Bootstrap!D33)</f>
        <v>0.214767764968347</v>
      </c>
      <c r="F33" s="3" t="n">
        <f aca="false">IF(Corpus!Q33="None",0,LN(Bootstrap!L33/Bootstrap!K33))</f>
        <v>0.130153950961624</v>
      </c>
      <c r="G33" s="3" t="n">
        <f aca="false">SUM(B33:F33)</f>
        <v>2.47898579985954</v>
      </c>
      <c r="H33" s="5" t="n">
        <f aca="false">EXP(G33)</f>
        <v>11.9291597251274</v>
      </c>
    </row>
    <row r="34" s="1" customFormat="true" ht="15.75" hidden="false" customHeight="true" outlineLevel="0" collapsed="false">
      <c r="A34" s="1" t="s">
        <v>151</v>
      </c>
      <c r="B34" s="3" t="n">
        <f aca="false">LN(Assumptions!$B$12/Assumptions!$B$11)</f>
        <v>1.02629162708848</v>
      </c>
      <c r="C34" s="3" t="n">
        <f aca="false">IF(Corpus!R34="5x",LN(Assumptions!$B$14/Assumptions!$B$13),0)</f>
        <v>1.02692036021199</v>
      </c>
      <c r="D34" s="3" t="n">
        <f aca="false">LN(Assumptions!$B$16/Assumptions!$B$15)</f>
        <v>0.080852096629095</v>
      </c>
      <c r="E34" s="3" t="n">
        <f aca="false">LN(Bootstrap!E34/Bootstrap!D34)</f>
        <v>0.232829895803268</v>
      </c>
      <c r="F34" s="3" t="n">
        <f aca="false">IF(Corpus!Q34="None",0,LN(Bootstrap!L34/Bootstrap!K34))</f>
        <v>0.0367406548603261</v>
      </c>
      <c r="G34" s="3" t="n">
        <f aca="false">SUM(B34:F34)</f>
        <v>2.40363463459317</v>
      </c>
      <c r="H34" s="5" t="n">
        <f aca="false">EXP(G34)</f>
        <v>11.0633144983495</v>
      </c>
    </row>
    <row r="35" s="1" customFormat="true" ht="15.75" hidden="false" customHeight="true" outlineLevel="0" collapsed="false">
      <c r="A35" s="1" t="s">
        <v>152</v>
      </c>
      <c r="B35" s="3" t="n">
        <f aca="false">LN(Assumptions!$B$12/Assumptions!$B$11)</f>
        <v>1.02629162708848</v>
      </c>
      <c r="C35" s="3" t="n">
        <f aca="false">IF(Corpus!R35="5x",LN(Assumptions!$B$14/Assumptions!$B$13),0)</f>
        <v>1.02692036021199</v>
      </c>
      <c r="D35" s="3" t="n">
        <f aca="false">LN(Assumptions!$B$16/Assumptions!$B$15)</f>
        <v>0.080852096629095</v>
      </c>
      <c r="E35" s="3" t="n">
        <f aca="false">LN(Bootstrap!E35/Bootstrap!D35)</f>
        <v>0.228756794335456</v>
      </c>
      <c r="F35" s="3" t="n">
        <f aca="false">IF(Corpus!Q35="None",0,LN(Bootstrap!L35/Bootstrap!K35))</f>
        <v>0.0259986860166014</v>
      </c>
      <c r="G35" s="3" t="n">
        <f aca="false">SUM(B35:F35)</f>
        <v>2.38881956428163</v>
      </c>
      <c r="H35" s="5" t="n">
        <f aca="false">EXP(G35)</f>
        <v>10.9006188655751</v>
      </c>
    </row>
    <row r="36" s="1" customFormat="true" ht="15.75" hidden="false" customHeight="true" outlineLevel="0" collapsed="false">
      <c r="A36" s="1" t="s">
        <v>153</v>
      </c>
      <c r="B36" s="3" t="n">
        <f aca="false">LN(Assumptions!$B$12/Assumptions!$B$11)</f>
        <v>1.02629162708848</v>
      </c>
      <c r="C36" s="3" t="n">
        <f aca="false">IF(Corpus!R36="5x",LN(Assumptions!$B$14/Assumptions!$B$13),0)</f>
        <v>1.02692036021199</v>
      </c>
      <c r="D36" s="3" t="n">
        <f aca="false">LN(Assumptions!$B$16/Assumptions!$B$15)</f>
        <v>0.080852096629095</v>
      </c>
      <c r="E36" s="3" t="n">
        <f aca="false">LN(Bootstrap!E36/Bootstrap!D36)</f>
        <v>0.228895985807297</v>
      </c>
      <c r="F36" s="3" t="n">
        <f aca="false">IF(Corpus!Q36="None",0,LN(Bootstrap!L36/Bootstrap!K36))</f>
        <v>0.0275762832642122</v>
      </c>
      <c r="G36" s="3" t="n">
        <f aca="false">SUM(B36:F36)</f>
        <v>2.39053635300108</v>
      </c>
      <c r="H36" s="5" t="n">
        <f aca="false">EXP(G36)</f>
        <v>10.9193489983185</v>
      </c>
    </row>
    <row r="37" s="1" customFormat="true" ht="15.75" hidden="false" customHeight="true" outlineLevel="0" collapsed="false">
      <c r="A37" s="1" t="s">
        <v>154</v>
      </c>
      <c r="B37" s="3" t="n">
        <f aca="false">LN(Assumptions!$B$12/Assumptions!$B$11)</f>
        <v>1.02629162708848</v>
      </c>
      <c r="C37" s="3" t="n">
        <f aca="false">IF(Corpus!R37="5x",LN(Assumptions!$B$14/Assumptions!$B$13),0)</f>
        <v>1.02692036021199</v>
      </c>
      <c r="D37" s="3" t="n">
        <f aca="false">LN(Assumptions!$B$16/Assumptions!$B$15)</f>
        <v>0.080852096629095</v>
      </c>
      <c r="E37" s="3" t="n">
        <f aca="false">LN(Bootstrap!E37/Bootstrap!D37)</f>
        <v>0.226538230293321</v>
      </c>
      <c r="F37" s="3" t="n">
        <f aca="false">IF(Corpus!Q37="None",0,LN(Bootstrap!L37/Bootstrap!K37))</f>
        <v>0.109554351477054</v>
      </c>
      <c r="G37" s="3" t="n">
        <f aca="false">SUM(B37:F37)</f>
        <v>2.47015666569995</v>
      </c>
      <c r="H37" s="5" t="n">
        <f aca="false">EXP(G37)</f>
        <v>11.8242991686509</v>
      </c>
    </row>
    <row r="38" s="1" customFormat="true" ht="15.75" hidden="false" customHeight="true" outlineLevel="0" collapsed="false">
      <c r="A38" s="1" t="s">
        <v>155</v>
      </c>
      <c r="B38" s="3" t="n">
        <f aca="false">LN(Assumptions!$B$12/Assumptions!$B$11)</f>
        <v>1.02629162708848</v>
      </c>
      <c r="C38" s="3" t="n">
        <f aca="false">IF(Corpus!R38="5x",LN(Assumptions!$B$14/Assumptions!$B$13),0)</f>
        <v>1.02692036021199</v>
      </c>
      <c r="D38" s="3" t="n">
        <f aca="false">LN(Assumptions!$B$16/Assumptions!$B$15)</f>
        <v>0.080852096629095</v>
      </c>
      <c r="E38" s="3" t="n">
        <f aca="false">LN(Bootstrap!E38/Bootstrap!D38)</f>
        <v>0.226800672916689</v>
      </c>
      <c r="F38" s="3" t="n">
        <f aca="false">IF(Corpus!Q38="None",0,LN(Bootstrap!L38/Bootstrap!K38))</f>
        <v>0.0684472367240783</v>
      </c>
      <c r="G38" s="3" t="n">
        <f aca="false">SUM(B38:F38)</f>
        <v>2.42931199357034</v>
      </c>
      <c r="H38" s="5" t="n">
        <f aca="false">EXP(G38)</f>
        <v>11.3510697838598</v>
      </c>
    </row>
    <row r="39" s="1" customFormat="true" ht="15.75" hidden="false" customHeight="true" outlineLevel="0" collapsed="false">
      <c r="A39" s="1" t="s">
        <v>156</v>
      </c>
      <c r="B39" s="3" t="n">
        <f aca="false">LN(Assumptions!$B$12/Assumptions!$B$11)</f>
        <v>1.02629162708848</v>
      </c>
      <c r="C39" s="3" t="n">
        <f aca="false">IF(Corpus!R39="5x",LN(Assumptions!$B$14/Assumptions!$B$13),0)</f>
        <v>1.02692036021199</v>
      </c>
      <c r="D39" s="3" t="n">
        <f aca="false">LN(Assumptions!$B$16/Assumptions!$B$15)</f>
        <v>0.080852096629095</v>
      </c>
      <c r="E39" s="3" t="n">
        <f aca="false">LN(Bootstrap!E39/Bootstrap!D39)</f>
        <v>0.213289924985814</v>
      </c>
      <c r="F39" s="3" t="n">
        <f aca="false">IF(Corpus!Q39="None",0,LN(Bootstrap!L39/Bootstrap!K39))</f>
        <v>0.0292233478238336</v>
      </c>
      <c r="G39" s="3" t="n">
        <f aca="false">SUM(B39:F39)</f>
        <v>2.37657735673922</v>
      </c>
      <c r="H39" s="5" t="n">
        <f aca="false">EXP(G39)</f>
        <v>10.767984750766</v>
      </c>
    </row>
    <row r="40" s="1" customFormat="true" ht="15.75" hidden="false" customHeight="true" outlineLevel="0" collapsed="false">
      <c r="A40" s="1" t="s">
        <v>157</v>
      </c>
      <c r="B40" s="3" t="n">
        <f aca="false">LN(Assumptions!$B$12/Assumptions!$B$11)</f>
        <v>1.02629162708848</v>
      </c>
      <c r="C40" s="3" t="n">
        <f aca="false">IF(Corpus!R40="5x",LN(Assumptions!$B$14/Assumptions!$B$13),0)</f>
        <v>1.02692036021199</v>
      </c>
      <c r="D40" s="3" t="n">
        <f aca="false">LN(Assumptions!$B$16/Assumptions!$B$15)</f>
        <v>0.080852096629095</v>
      </c>
      <c r="E40" s="3" t="n">
        <f aca="false">LN(Bootstrap!E40/Bootstrap!D40)</f>
        <v>0.226406634467935</v>
      </c>
      <c r="F40" s="3" t="n">
        <f aca="false">IF(Corpus!Q40="None",0,LN(Bootstrap!L40/Bootstrap!K40))</f>
        <v>0.024902531895692</v>
      </c>
      <c r="G40" s="3" t="n">
        <f aca="false">SUM(B40:F40)</f>
        <v>2.3853732502932</v>
      </c>
      <c r="H40" s="5" t="n">
        <f aca="false">EXP(G40)</f>
        <v>10.8631165697576</v>
      </c>
    </row>
    <row r="41" s="1" customFormat="true" ht="15.75" hidden="false" customHeight="true" outlineLevel="0" collapsed="false">
      <c r="A41" s="1" t="s">
        <v>158</v>
      </c>
      <c r="B41" s="3" t="n">
        <f aca="false">LN(Assumptions!$B$12/Assumptions!$B$11)</f>
        <v>1.02629162708848</v>
      </c>
      <c r="C41" s="3" t="n">
        <f aca="false">IF(Corpus!R41="5x",LN(Assumptions!$B$14/Assumptions!$B$13),0)</f>
        <v>1.02692036021199</v>
      </c>
      <c r="D41" s="3" t="n">
        <f aca="false">LN(Assumptions!$B$16/Assumptions!$B$15)</f>
        <v>0.080852096629095</v>
      </c>
      <c r="E41" s="3" t="n">
        <f aca="false">LN(Bootstrap!E41/Bootstrap!D41)</f>
        <v>0.228298319474058</v>
      </c>
      <c r="F41" s="3" t="n">
        <f aca="false">IF(Corpus!Q41="None",0,LN(Bootstrap!L41/Bootstrap!K41))</f>
        <v>0.0297781288701581</v>
      </c>
      <c r="G41" s="3" t="n">
        <f aca="false">SUM(B41:F41)</f>
        <v>2.39214053227379</v>
      </c>
      <c r="H41" s="5" t="n">
        <f aca="false">EXP(G41)</f>
        <v>10.9368796490469</v>
      </c>
    </row>
    <row r="42" s="1" customFormat="true" ht="15.75" hidden="false" customHeight="true" outlineLevel="0" collapsed="false">
      <c r="A42" s="1" t="s">
        <v>159</v>
      </c>
      <c r="B42" s="3" t="n">
        <f aca="false">LN(Assumptions!$B$12/Assumptions!$B$11)</f>
        <v>1.02629162708848</v>
      </c>
      <c r="C42" s="3" t="n">
        <f aca="false">IF(Corpus!R42="5x",LN(Assumptions!$B$14/Assumptions!$B$13),0)</f>
        <v>1.02692036021199</v>
      </c>
      <c r="D42" s="3" t="n">
        <f aca="false">LN(Assumptions!$B$16/Assumptions!$B$15)</f>
        <v>0.080852096629095</v>
      </c>
      <c r="E42" s="3" t="n">
        <f aca="false">LN(Bootstrap!E42/Bootstrap!D42)</f>
        <v>0.224594849364089</v>
      </c>
      <c r="F42" s="3" t="n">
        <f aca="false">IF(Corpus!Q42="None",0,LN(Bootstrap!L42/Bootstrap!K42))</f>
        <v>0.025553772834234</v>
      </c>
      <c r="G42" s="3" t="n">
        <f aca="false">SUM(B42:F42)</f>
        <v>2.38421270612789</v>
      </c>
      <c r="H42" s="5" t="n">
        <f aca="false">EXP(G42)</f>
        <v>10.8505167559399</v>
      </c>
    </row>
    <row r="43" s="1" customFormat="true" ht="15.75" hidden="false" customHeight="true" outlineLevel="0" collapsed="false">
      <c r="A43" s="1" t="s">
        <v>160</v>
      </c>
      <c r="B43" s="3" t="n">
        <f aca="false">LN(Assumptions!$B$12/Assumptions!$B$11)</f>
        <v>1.02629162708848</v>
      </c>
      <c r="C43" s="3" t="n">
        <f aca="false">IF(Corpus!R43="5x",LN(Assumptions!$B$14/Assumptions!$B$13),0)</f>
        <v>1.02692036021199</v>
      </c>
      <c r="D43" s="3" t="n">
        <f aca="false">LN(Assumptions!$B$16/Assumptions!$B$15)</f>
        <v>0.080852096629095</v>
      </c>
      <c r="E43" s="3" t="n">
        <f aca="false">LN(Bootstrap!E43/Bootstrap!D43)</f>
        <v>0.252544926658421</v>
      </c>
      <c r="F43" s="3" t="n">
        <f aca="false">IF(Corpus!Q43="None",0,LN(Bootstrap!L43/Bootstrap!K43))</f>
        <v>0.0731623733323324</v>
      </c>
      <c r="G43" s="3" t="n">
        <f aca="false">SUM(B43:F43)</f>
        <v>2.45977138392033</v>
      </c>
      <c r="H43" s="5" t="n">
        <f aca="false">EXP(G43)</f>
        <v>11.7021359377078</v>
      </c>
    </row>
    <row r="44" s="1" customFormat="true" ht="15.75" hidden="false" customHeight="true" outlineLevel="0" collapsed="false">
      <c r="A44" s="1" t="s">
        <v>161</v>
      </c>
      <c r="B44" s="3" t="n">
        <f aca="false">LN(Assumptions!$B$12/Assumptions!$B$11)</f>
        <v>1.02629162708848</v>
      </c>
      <c r="C44" s="3" t="n">
        <f aca="false">IF(Corpus!R44="5x",LN(Assumptions!$B$14/Assumptions!$B$13),0)</f>
        <v>1.02692036021199</v>
      </c>
      <c r="D44" s="3" t="n">
        <f aca="false">LN(Assumptions!$B$16/Assumptions!$B$15)</f>
        <v>0.080852096629095</v>
      </c>
      <c r="E44" s="3" t="n">
        <f aca="false">LN(Bootstrap!E44/Bootstrap!D44)</f>
        <v>0.255801669178695</v>
      </c>
      <c r="F44" s="3" t="n">
        <f aca="false">IF(Corpus!Q44="None",0,LN(Bootstrap!L44/Bootstrap!K44))</f>
        <v>0.0731623733323324</v>
      </c>
      <c r="G44" s="3" t="n">
        <f aca="false">SUM(B44:F44)</f>
        <v>2.4630281264406</v>
      </c>
      <c r="H44" s="5" t="n">
        <f aca="false">EXP(G44)</f>
        <v>11.7403089074212</v>
      </c>
    </row>
    <row r="45" s="1" customFormat="true" ht="15.75" hidden="false" customHeight="true" outlineLevel="0" collapsed="false">
      <c r="A45" s="1" t="s">
        <v>163</v>
      </c>
      <c r="B45" s="3" t="n">
        <f aca="false">LN(Assumptions!$B$12/Assumptions!$B$11)</f>
        <v>1.02629162708848</v>
      </c>
      <c r="C45" s="3" t="n">
        <f aca="false">IF(Corpus!R45="5x",LN(Assumptions!$B$14/Assumptions!$B$13),0)</f>
        <v>1.02692036021199</v>
      </c>
      <c r="D45" s="3" t="n">
        <f aca="false">LN(Assumptions!$B$16/Assumptions!$B$15)</f>
        <v>0.080852096629095</v>
      </c>
      <c r="E45" s="3" t="n">
        <f aca="false">LN(Bootstrap!E45/Bootstrap!D45)</f>
        <v>0.226303182406374</v>
      </c>
      <c r="F45" s="3" t="n">
        <f aca="false">IF(Corpus!Q45="None",0,LN(Bootstrap!L45/Bootstrap!K45))</f>
        <v>0.041847938054102</v>
      </c>
      <c r="G45" s="3" t="n">
        <f aca="false">SUM(B45:F45)</f>
        <v>2.40221520439005</v>
      </c>
      <c r="H45" s="5" t="n">
        <f aca="false">EXP(G45)</f>
        <v>11.0476220354167</v>
      </c>
    </row>
    <row r="46" s="1" customFormat="true" ht="15.75" hidden="false" customHeight="true" outlineLevel="0" collapsed="false">
      <c r="A46" s="1" t="s">
        <v>164</v>
      </c>
      <c r="B46" s="3" t="n">
        <f aca="false">LN(Assumptions!$B$12/Assumptions!$B$11)</f>
        <v>1.02629162708848</v>
      </c>
      <c r="C46" s="3" t="n">
        <f aca="false">IF(Corpus!R46="5x",LN(Assumptions!$B$14/Assumptions!$B$13),0)</f>
        <v>1.02692036021199</v>
      </c>
      <c r="D46" s="3" t="n">
        <f aca="false">LN(Assumptions!$B$16/Assumptions!$B$15)</f>
        <v>0.080852096629095</v>
      </c>
      <c r="E46" s="3" t="n">
        <f aca="false">LN(Bootstrap!E46/Bootstrap!D46)</f>
        <v>0.204337873329432</v>
      </c>
      <c r="F46" s="3" t="n">
        <f aca="false">IF(Corpus!Q46="None",0,LN(Bootstrap!L46/Bootstrap!K46))</f>
        <v>0.0263766983814331</v>
      </c>
      <c r="G46" s="3" t="n">
        <f aca="false">SUM(B46:F46)</f>
        <v>2.36477865564044</v>
      </c>
      <c r="H46" s="5" t="n">
        <f aca="false">EXP(G46)</f>
        <v>10.641683080279</v>
      </c>
    </row>
    <row r="47" s="1" customFormat="true" ht="15.75" hidden="false" customHeight="true" outlineLevel="0" collapsed="false">
      <c r="A47" s="1" t="s">
        <v>165</v>
      </c>
      <c r="B47" s="3" t="n">
        <f aca="false">LN(Assumptions!$B$12/Assumptions!$B$11)</f>
        <v>1.02629162708848</v>
      </c>
      <c r="C47" s="3" t="n">
        <f aca="false">IF(Corpus!R47="5x",LN(Assumptions!$B$14/Assumptions!$B$13),0)</f>
        <v>1.02692036021199</v>
      </c>
      <c r="D47" s="3" t="n">
        <f aca="false">LN(Assumptions!$B$16/Assumptions!$B$15)</f>
        <v>0.080852096629095</v>
      </c>
      <c r="E47" s="3" t="n">
        <f aca="false">LN(Bootstrap!E47/Bootstrap!D47)</f>
        <v>0.206087482548998</v>
      </c>
      <c r="F47" s="3" t="n">
        <f aca="false">IF(Corpus!Q47="None",0,LN(Bootstrap!L47/Bootstrap!K47))</f>
        <v>0.0282303140970892</v>
      </c>
      <c r="G47" s="3" t="n">
        <f aca="false">SUM(B47:F47)</f>
        <v>2.36838188057566</v>
      </c>
      <c r="H47" s="5" t="n">
        <f aca="false">EXP(G47)</f>
        <v>10.6800966228628</v>
      </c>
    </row>
    <row r="48" s="1" customFormat="true" ht="15.75" hidden="false" customHeight="true" outlineLevel="0" collapsed="false">
      <c r="A48" s="1" t="s">
        <v>166</v>
      </c>
      <c r="B48" s="3" t="n">
        <f aca="false">LN(Assumptions!$B$12/Assumptions!$B$11)</f>
        <v>1.02629162708848</v>
      </c>
      <c r="C48" s="3" t="n">
        <f aca="false">IF(Corpus!R48="5x",LN(Assumptions!$B$14/Assumptions!$B$13),0)</f>
        <v>1.02692036021199</v>
      </c>
      <c r="D48" s="3" t="n">
        <f aca="false">LN(Assumptions!$B$16/Assumptions!$B$15)</f>
        <v>0.080852096629095</v>
      </c>
      <c r="E48" s="3" t="n">
        <f aca="false">LN(Bootstrap!E48/Bootstrap!D48)</f>
        <v>0.225029193268307</v>
      </c>
      <c r="F48" s="3" t="n">
        <f aca="false">IF(Corpus!Q48="None",0,LN(Bootstrap!L48/Bootstrap!K48))</f>
        <v>0.0188713103646146</v>
      </c>
      <c r="G48" s="3" t="n">
        <f aca="false">SUM(B48:F48)</f>
        <v>2.37796458756249</v>
      </c>
      <c r="H48" s="5" t="n">
        <f aca="false">EXP(G48)</f>
        <v>10.7829327969148</v>
      </c>
    </row>
    <row r="49" s="1" customFormat="true" ht="15.75" hidden="false" customHeight="true" outlineLevel="0" collapsed="false">
      <c r="A49" s="1" t="s">
        <v>167</v>
      </c>
      <c r="B49" s="3" t="n">
        <f aca="false">LN(Assumptions!$B$12/Assumptions!$B$11)</f>
        <v>1.02629162708848</v>
      </c>
      <c r="C49" s="3" t="n">
        <f aca="false">IF(Corpus!R49="5x",LN(Assumptions!$B$14/Assumptions!$B$13),0)</f>
        <v>1.02692036021199</v>
      </c>
      <c r="D49" s="3" t="n">
        <f aca="false">LN(Assumptions!$B$16/Assumptions!$B$15)</f>
        <v>0.080852096629095</v>
      </c>
      <c r="E49" s="3" t="n">
        <f aca="false">LN(Bootstrap!E49/Bootstrap!D49)</f>
        <v>0.216459831722571</v>
      </c>
      <c r="F49" s="3" t="n">
        <f aca="false">IF(Corpus!Q49="None",0,LN(Bootstrap!L49/Bootstrap!K49))</f>
        <v>0.0483698790535558</v>
      </c>
      <c r="G49" s="3" t="n">
        <f aca="false">SUM(B49:F49)</f>
        <v>2.3988937947057</v>
      </c>
      <c r="H49" s="5" t="n">
        <f aca="false">EXP(G49)</f>
        <v>11.0109892265593</v>
      </c>
    </row>
    <row r="50" s="1" customFormat="true" ht="15.75" hidden="false" customHeight="true" outlineLevel="0" collapsed="false"/>
    <row r="51" s="1" customFormat="true" ht="15.75" hidden="false" customHeight="true" outlineLevel="0" collapsed="false">
      <c r="A51" s="1" t="s">
        <v>238</v>
      </c>
      <c r="B51" s="3" t="n">
        <f aca="false">AVERAGEIFS(B3:B49,Corpus!$Q$3:$Q$49,"&lt;&gt;None",Corpus!$R$3:$R$49,"5x")</f>
        <v>1.02629162708848</v>
      </c>
      <c r="C51" s="3" t="n">
        <f aca="false">AVERAGEIFS(C3:C49,Corpus!$Q$3:$Q$49,"&lt;&gt;None",Corpus!$R$3:$R$49,"5x")</f>
        <v>1.02692036021199</v>
      </c>
      <c r="D51" s="3" t="n">
        <f aca="false">AVERAGEIFS(D3:D49,Corpus!$Q$3:$Q$49,"&lt;&gt;None",Corpus!$R$3:$R$49,"5x")</f>
        <v>0.080852096629095</v>
      </c>
      <c r="E51" s="3" t="n">
        <f aca="false">AVERAGEIFS(E3:E49,Corpus!$Q$3:$Q$49,"&lt;&gt;None",Corpus!$R$3:$R$49,"5x")</f>
        <v>0.225747330672269</v>
      </c>
      <c r="F51" s="3" t="n">
        <f aca="false">AVERAGEIFS(F3:F49,Corpus!$Q$3:$Q$49,"&lt;&gt;None",Corpus!$R$3:$R$49,"5x")</f>
        <v>0.0759418097134047</v>
      </c>
      <c r="G51" s="3" t="n">
        <f aca="false">AVERAGEIFS(G3:G49,Corpus!$Q$3:$Q$49,"&lt;&gt;None",Corpus!$R$3:$R$49,"5x")</f>
        <v>2.43575322431525</v>
      </c>
      <c r="H51" s="5" t="n">
        <f aca="false">AVERAGEIFS(H3:H49,Corpus!$Q$3:$Q$49,"&lt;&gt;None",Corpus!$R$3:$R$49,"5x")</f>
        <v>11.4797470751577</v>
      </c>
    </row>
    <row r="52" s="1" customFormat="true" ht="15.75" hidden="false" customHeight="true" outlineLevel="0" collapsed="false">
      <c r="A52" s="1" t="s">
        <v>239</v>
      </c>
      <c r="B52" s="3" t="n">
        <f aca="false">MEDIAN(B3:B49)</f>
        <v>1.02629162708848</v>
      </c>
      <c r="C52" s="3" t="n">
        <f aca="false">MEDIAN(C3:C49)</f>
        <v>1.02692036021199</v>
      </c>
      <c r="D52" s="3" t="n">
        <f aca="false">MEDIAN(D3:D49)</f>
        <v>0.080852096629095</v>
      </c>
      <c r="E52" s="3" t="n">
        <f aca="false">MEDIAN(E3:E49)</f>
        <v>0.224594849364089</v>
      </c>
      <c r="F52" s="3" t="n">
        <f aca="false">MEDIAN(F3:F49)</f>
        <v>0.041847938054102</v>
      </c>
      <c r="G52" s="3" t="n">
        <f aca="false">MEDIAN(G3:G49)</f>
        <v>2.3988937947057</v>
      </c>
      <c r="H52" s="5" t="n">
        <f aca="false">MEDIAN(H3:H49)</f>
        <v>11.0109892265593</v>
      </c>
    </row>
    <row r="53" s="1" customFormat="true" ht="15.75" hidden="false" customHeight="true" outlineLevel="0" collapsed="false">
      <c r="A53" s="1" t="s">
        <v>240</v>
      </c>
      <c r="H53" s="5" t="n">
        <f aca="false">EXP(G51)</f>
        <v>11.424420624778</v>
      </c>
    </row>
    <row r="54" s="1" customFormat="true" ht="15.75" hidden="false" customHeight="true" outlineLevel="0" collapsed="false"/>
    <row r="55" s="1" customFormat="true" ht="15.75" hidden="false" customHeight="true" outlineLevel="0" collapsed="false">
      <c r="E55" s="3" t="n">
        <f aca="false">MIN(E3:E49)</f>
        <v>0.202135083332092</v>
      </c>
      <c r="F55" s="3" t="n">
        <f aca="false">MIN(F3:F49)</f>
        <v>0</v>
      </c>
    </row>
    <row r="56" s="1" customFormat="true" ht="15.75" hidden="false" customHeight="true" outlineLevel="0" collapsed="false">
      <c r="E56" s="3" t="n">
        <f aca="false">MAX(E3:E49)</f>
        <v>0.328228360238139</v>
      </c>
      <c r="F56" s="3" t="n">
        <f aca="false">MAX(F3:F49)</f>
        <v>0.476853353858236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4" min="1" style="1" width="8.71"/>
  </cols>
  <sheetData>
    <row r="1" s="1" customFormat="true" ht="15" hidden="false" customHeight="true" outlineLevel="0" collapsed="false">
      <c r="A1" s="1" t="s">
        <v>241</v>
      </c>
    </row>
    <row r="2" s="1" customFormat="true" ht="15" hidden="false" customHeight="true" outlineLevel="0" collapsed="false">
      <c r="A2" s="2" t="s">
        <v>92</v>
      </c>
      <c r="B2" s="2" t="s">
        <v>93</v>
      </c>
      <c r="C2" s="2" t="s">
        <v>98</v>
      </c>
      <c r="D2" s="2" t="s">
        <v>242</v>
      </c>
      <c r="E2" s="2" t="s">
        <v>243</v>
      </c>
      <c r="F2" s="2" t="s">
        <v>244</v>
      </c>
      <c r="G2" s="2" t="s">
        <v>245</v>
      </c>
      <c r="H2" s="2" t="s">
        <v>246</v>
      </c>
      <c r="I2" s="2" t="s">
        <v>247</v>
      </c>
      <c r="J2" s="2" t="s">
        <v>248</v>
      </c>
      <c r="K2" s="2" t="s">
        <v>249</v>
      </c>
      <c r="L2" s="2" t="s">
        <v>250</v>
      </c>
      <c r="M2" s="2" t="s">
        <v>251</v>
      </c>
      <c r="N2" s="2" t="s">
        <v>252</v>
      </c>
    </row>
    <row r="3" s="1" customFormat="true" ht="15" hidden="false" customHeight="true" outlineLevel="0" collapsed="false">
      <c r="A3" s="1" t="s">
        <v>107</v>
      </c>
      <c r="B3" s="1" t="s">
        <v>107</v>
      </c>
      <c r="C3" s="9" t="n">
        <v>57</v>
      </c>
      <c r="D3" s="3" t="n">
        <v>0.866</v>
      </c>
      <c r="E3" s="3" t="n">
        <v>1.1563</v>
      </c>
      <c r="F3" s="3" t="n">
        <f aca="false">Corpus!E3/(Corpus!E3+Corpus!F3)</f>
        <v>0.770192307692308</v>
      </c>
      <c r="G3" s="3" t="n">
        <f aca="false">Corpus!E3/(Corpus!E3-Corpus!F3)</f>
        <v>1.42526690391459</v>
      </c>
      <c r="H3" s="5" t="n">
        <v>0.316</v>
      </c>
      <c r="I3" s="9" t="n">
        <v>0</v>
      </c>
      <c r="J3" s="5" t="n">
        <v>1</v>
      </c>
      <c r="K3" s="3" t="n">
        <v>1</v>
      </c>
      <c r="L3" s="3" t="n">
        <v>1</v>
      </c>
      <c r="M3" s="3" t="n">
        <f aca="false">IF(Corpus!Q3="None",1,Corpus!N3/Corpus!H3)</f>
        <v>1</v>
      </c>
      <c r="N3" s="3" t="n">
        <f aca="false">IF(Corpus!Q3="None",1,Corpus!J3/Corpus!H3)</f>
        <v>1</v>
      </c>
    </row>
    <row r="4" s="1" customFormat="true" ht="15" hidden="false" customHeight="true" outlineLevel="0" collapsed="false">
      <c r="A4" s="1" t="s">
        <v>110</v>
      </c>
      <c r="B4" s="1" t="s">
        <v>111</v>
      </c>
      <c r="C4" s="9" t="n">
        <v>57</v>
      </c>
      <c r="D4" s="3" t="n">
        <v>0.8867</v>
      </c>
      <c r="E4" s="3" t="n">
        <v>1.1253</v>
      </c>
      <c r="F4" s="3" t="n">
        <f aca="false">Corpus!E4/(Corpus!E4+Corpus!F4)</f>
        <v>0.821954484605087</v>
      </c>
      <c r="G4" s="3" t="n">
        <f aca="false">Corpus!E4/(Corpus!E4-Corpus!F4)</f>
        <v>1.27650727650728</v>
      </c>
      <c r="H4" s="5" t="n">
        <v>0.281</v>
      </c>
      <c r="I4" s="9" t="n">
        <v>0</v>
      </c>
      <c r="J4" s="5" t="n">
        <v>1</v>
      </c>
      <c r="K4" s="3" t="n">
        <v>1</v>
      </c>
      <c r="L4" s="3" t="n">
        <v>1</v>
      </c>
      <c r="M4" s="3" t="n">
        <f aca="false">IF(Corpus!Q4="None",1,Corpus!N4/Corpus!H4)</f>
        <v>1</v>
      </c>
      <c r="N4" s="3" t="n">
        <f aca="false">IF(Corpus!Q4="None",1,Corpus!J4/Corpus!H4)</f>
        <v>1</v>
      </c>
    </row>
    <row r="5" s="1" customFormat="true" ht="15" hidden="false" customHeight="true" outlineLevel="0" collapsed="false">
      <c r="A5" s="1" t="s">
        <v>113</v>
      </c>
      <c r="B5" s="1" t="s">
        <v>113</v>
      </c>
      <c r="C5" s="9" t="n">
        <v>57</v>
      </c>
      <c r="D5" s="3" t="n">
        <v>0.8833</v>
      </c>
      <c r="E5" s="3" t="n">
        <v>1.1249</v>
      </c>
      <c r="F5" s="3" t="n">
        <f aca="false">Corpus!E5/(Corpus!E5+Corpus!F5)</f>
        <v>0.812911725955204</v>
      </c>
      <c r="G5" s="3" t="n">
        <f aca="false">Corpus!E5/(Corpus!E5-Corpus!F5)</f>
        <v>1.29894736842105</v>
      </c>
      <c r="H5" s="5" t="n">
        <v>0.386</v>
      </c>
      <c r="I5" s="9" t="n">
        <v>43</v>
      </c>
      <c r="J5" s="5" t="n">
        <v>2.229</v>
      </c>
      <c r="K5" s="3" t="n">
        <v>0.9725</v>
      </c>
      <c r="L5" s="3" t="n">
        <v>1.0356</v>
      </c>
      <c r="M5" s="3" t="n">
        <f aca="false">IF(Corpus!Q5="None",1,Corpus!N5/Corpus!H5)</f>
        <v>0.515695067264574</v>
      </c>
      <c r="N5" s="3" t="n">
        <f aca="false">IF(Corpus!Q5="None",1,Corpus!J5/Corpus!H5)</f>
        <v>1.48430493273543</v>
      </c>
    </row>
    <row r="6" s="1" customFormat="true" ht="15" hidden="false" customHeight="true" outlineLevel="0" collapsed="false">
      <c r="A6" s="1" t="s">
        <v>115</v>
      </c>
      <c r="B6" s="1" t="s">
        <v>115</v>
      </c>
      <c r="C6" s="9" t="n">
        <v>57</v>
      </c>
      <c r="D6" s="3" t="n">
        <v>0.8899</v>
      </c>
      <c r="E6" s="3" t="n">
        <v>1.1299</v>
      </c>
      <c r="F6" s="3" t="n">
        <f aca="false">Corpus!E6/(Corpus!E6+Corpus!F6)</f>
        <v>0.807436918990704</v>
      </c>
      <c r="G6" s="3" t="n">
        <f aca="false">Corpus!E6/(Corpus!E6-Corpus!F6)</f>
        <v>1.31317494600432</v>
      </c>
      <c r="H6" s="5" t="n">
        <v>0.281</v>
      </c>
      <c r="I6" s="9" t="n">
        <v>37</v>
      </c>
      <c r="J6" s="5" t="n">
        <v>3.838</v>
      </c>
      <c r="K6" s="3" t="n">
        <v>0.8875</v>
      </c>
      <c r="L6" s="3" t="n">
        <v>1.046</v>
      </c>
      <c r="M6" s="3" t="n">
        <f aca="false">IF(Corpus!Q6="None",1,Corpus!N6/Corpus!H6)</f>
        <v>0.424479166666667</v>
      </c>
      <c r="N6" s="3" t="n">
        <f aca="false">IF(Corpus!Q6="None",1,Corpus!J6/Corpus!H6)</f>
        <v>1.51302083333333</v>
      </c>
    </row>
    <row r="7" s="1" customFormat="true" ht="15" hidden="false" customHeight="true" outlineLevel="0" collapsed="false">
      <c r="A7" s="1" t="s">
        <v>117</v>
      </c>
      <c r="B7" s="1" t="s">
        <v>117</v>
      </c>
      <c r="C7" s="9" t="n">
        <v>56</v>
      </c>
      <c r="D7" s="3" t="n">
        <v>0.8882</v>
      </c>
      <c r="E7" s="3" t="n">
        <v>1.1202</v>
      </c>
      <c r="F7" s="3" t="n">
        <f aca="false">Corpus!E7/(Corpus!E7+Corpus!F7)</f>
        <v>0.812649164677804</v>
      </c>
      <c r="G7" s="3" t="n">
        <f aca="false">Corpus!E7/(Corpus!E7-Corpus!F7)</f>
        <v>1.29961832061069</v>
      </c>
      <c r="H7" s="5" t="n">
        <v>0.357</v>
      </c>
      <c r="I7" s="9" t="n">
        <v>32</v>
      </c>
      <c r="J7" s="5" t="n">
        <v>6.116</v>
      </c>
      <c r="K7" s="3" t="n">
        <v>0.951</v>
      </c>
      <c r="L7" s="3" t="n">
        <v>1.0593</v>
      </c>
      <c r="M7" s="3" t="n">
        <f aca="false">IF(Corpus!Q7="None",1,Corpus!N7/Corpus!H7)</f>
        <v>0.529411764705882</v>
      </c>
      <c r="N7" s="3" t="n">
        <f aca="false">IF(Corpus!Q7="None",1,Corpus!J7/Corpus!H7)</f>
        <v>1.48692810457516</v>
      </c>
    </row>
    <row r="8" s="1" customFormat="true" ht="15" hidden="false" customHeight="true" outlineLevel="0" collapsed="false">
      <c r="A8" s="1" t="s">
        <v>119</v>
      </c>
      <c r="B8" s="1" t="s">
        <v>119</v>
      </c>
      <c r="C8" s="9" t="n">
        <v>56</v>
      </c>
      <c r="D8" s="3" t="n">
        <v>0.9</v>
      </c>
      <c r="E8" s="3" t="n">
        <v>1.1394</v>
      </c>
      <c r="F8" s="3" t="n">
        <f aca="false">Corpus!E8/(Corpus!E8+Corpus!F8)</f>
        <v>0.792546583850932</v>
      </c>
      <c r="G8" s="3" t="n">
        <f aca="false">Corpus!E8/(Corpus!E8-Corpus!F8)</f>
        <v>1.35456475583864</v>
      </c>
      <c r="H8" s="5" t="n">
        <v>0.321</v>
      </c>
      <c r="I8" s="9" t="n">
        <v>38</v>
      </c>
      <c r="J8" s="5" t="n">
        <v>3.749</v>
      </c>
      <c r="K8" s="3" t="n">
        <v>0.9429</v>
      </c>
      <c r="L8" s="3" t="n">
        <v>1.079</v>
      </c>
      <c r="M8" s="3" t="n">
        <f aca="false">IF(Corpus!Q8="None",1,Corpus!N8/Corpus!H8)</f>
        <v>0.445333333333333</v>
      </c>
      <c r="N8" s="3" t="n">
        <f aca="false">IF(Corpus!Q8="None",1,Corpus!J8/Corpus!H8)</f>
        <v>1.53866666666667</v>
      </c>
    </row>
    <row r="9" s="1" customFormat="true" ht="15" hidden="false" customHeight="true" outlineLevel="0" collapsed="false">
      <c r="A9" s="1" t="s">
        <v>121</v>
      </c>
      <c r="B9" s="1" t="s">
        <v>122</v>
      </c>
      <c r="C9" s="9" t="n">
        <v>57</v>
      </c>
      <c r="D9" s="3" t="n">
        <v>0.8907</v>
      </c>
      <c r="E9" s="3" t="n">
        <v>1.1051</v>
      </c>
      <c r="F9" s="3" t="n">
        <f aca="false">Corpus!E9/(Corpus!E9+Corpus!F9)</f>
        <v>0.903030303030303</v>
      </c>
      <c r="G9" s="3" t="n">
        <f aca="false">Corpus!E9/(Corpus!E9-Corpus!F9)</f>
        <v>1.1203007518797</v>
      </c>
      <c r="H9" s="5" t="n">
        <v>0.316</v>
      </c>
      <c r="I9" s="9" t="n">
        <v>0</v>
      </c>
      <c r="J9" s="5" t="n">
        <v>1</v>
      </c>
      <c r="K9" s="3" t="n">
        <v>1</v>
      </c>
      <c r="L9" s="3" t="n">
        <v>1</v>
      </c>
      <c r="M9" s="3" t="n">
        <f aca="false">IF(Corpus!Q9="None",1,Corpus!N9/Corpus!H9)</f>
        <v>1</v>
      </c>
      <c r="N9" s="3" t="n">
        <f aca="false">IF(Corpus!Q9="None",1,Corpus!J9/Corpus!H9)</f>
        <v>1</v>
      </c>
    </row>
    <row r="10" s="1" customFormat="true" ht="15" hidden="false" customHeight="true" outlineLevel="0" collapsed="false">
      <c r="A10" s="1" t="s">
        <v>123</v>
      </c>
      <c r="B10" s="1" t="s">
        <v>123</v>
      </c>
      <c r="C10" s="9" t="n">
        <v>57</v>
      </c>
      <c r="D10" s="3" t="n">
        <v>0.8991</v>
      </c>
      <c r="E10" s="3" t="n">
        <v>1.1179</v>
      </c>
      <c r="F10" s="3" t="n">
        <f aca="false">Corpus!E10/(Corpus!E10+Corpus!F10)</f>
        <v>0.904761904761905</v>
      </c>
      <c r="G10" s="3" t="n">
        <f aca="false">Corpus!E10/(Corpus!E10-Corpus!F10)</f>
        <v>1.11764705882353</v>
      </c>
      <c r="H10" s="5" t="n">
        <v>0.316</v>
      </c>
      <c r="I10" s="9" t="n">
        <v>39</v>
      </c>
      <c r="J10" s="5" t="n">
        <v>1.667</v>
      </c>
      <c r="K10" s="3" t="n">
        <v>0.9779</v>
      </c>
      <c r="L10" s="3" t="n">
        <v>1.0318</v>
      </c>
      <c r="M10" s="3" t="n">
        <f aca="false">IF(Corpus!Q10="None",1,Corpus!N10/Corpus!H10)</f>
        <v>0.610778443113773</v>
      </c>
      <c r="N10" s="3" t="n">
        <f aca="false">IF(Corpus!Q10="None",1,Corpus!J10/Corpus!H10)</f>
        <v>1.13173652694611</v>
      </c>
    </row>
    <row r="11" s="1" customFormat="true" ht="15" hidden="false" customHeight="true" outlineLevel="0" collapsed="false">
      <c r="A11" s="1" t="s">
        <v>124</v>
      </c>
      <c r="B11" s="1" t="s">
        <v>124</v>
      </c>
      <c r="C11" s="9" t="n">
        <v>57</v>
      </c>
      <c r="D11" s="3" t="n">
        <v>0.8998</v>
      </c>
      <c r="E11" s="3" t="n">
        <v>1.1139</v>
      </c>
      <c r="F11" s="3" t="n">
        <f aca="false">Corpus!E11/(Corpus!E11+Corpus!F11)</f>
        <v>0.901869158878505</v>
      </c>
      <c r="G11" s="3" t="n">
        <f aca="false">Corpus!E11/(Corpus!E11-Corpus!F11)</f>
        <v>1.12209302325581</v>
      </c>
      <c r="H11" s="5" t="n">
        <v>0.298</v>
      </c>
      <c r="I11" s="9" t="n">
        <v>39</v>
      </c>
      <c r="J11" s="5" t="n">
        <v>1.838</v>
      </c>
      <c r="K11" s="3" t="n">
        <v>0.9838</v>
      </c>
      <c r="L11" s="3" t="n">
        <v>1.0163</v>
      </c>
      <c r="M11" s="3" t="n">
        <f aca="false">IF(Corpus!Q11="None",1,Corpus!N11/Corpus!H11)</f>
        <v>0.581521739130435</v>
      </c>
      <c r="N11" s="3" t="n">
        <f aca="false">IF(Corpus!Q11="None",1,Corpus!J11/Corpus!H11)</f>
        <v>1.23369565217391</v>
      </c>
    </row>
    <row r="12" s="1" customFormat="true" ht="15" hidden="false" customHeight="true" outlineLevel="0" collapsed="false">
      <c r="A12" s="1" t="s">
        <v>125</v>
      </c>
      <c r="B12" s="1" t="s">
        <v>125</v>
      </c>
      <c r="C12" s="9" t="n">
        <v>56</v>
      </c>
      <c r="D12" s="3" t="n">
        <v>0.8995</v>
      </c>
      <c r="E12" s="3" t="n">
        <v>1.101</v>
      </c>
      <c r="F12" s="3" t="n">
        <f aca="false">Corpus!E12/(Corpus!E12+Corpus!F12)</f>
        <v>0.899843505477308</v>
      </c>
      <c r="G12" s="3" t="n">
        <f aca="false">Corpus!E12/(Corpus!E12-Corpus!F12)</f>
        <v>1.1252446183953</v>
      </c>
      <c r="H12" s="5" t="n">
        <v>0.339</v>
      </c>
      <c r="I12" s="9" t="n">
        <v>39</v>
      </c>
      <c r="J12" s="5" t="n">
        <v>2.029</v>
      </c>
      <c r="K12" s="3" t="n">
        <v>0.9646</v>
      </c>
      <c r="L12" s="3" t="n">
        <v>1.0078</v>
      </c>
      <c r="M12" s="3" t="n">
        <f aca="false">IF(Corpus!Q12="None",1,Corpus!N12/Corpus!H12)</f>
        <v>0.536945812807882</v>
      </c>
      <c r="N12" s="3" t="n">
        <f aca="false">IF(Corpus!Q12="None",1,Corpus!J12/Corpus!H12)</f>
        <v>1.17733990147783</v>
      </c>
    </row>
    <row r="13" s="1" customFormat="true" ht="15" hidden="false" customHeight="true" outlineLevel="0" collapsed="false">
      <c r="A13" s="1" t="s">
        <v>126</v>
      </c>
      <c r="B13" s="1" t="s">
        <v>126</v>
      </c>
      <c r="C13" s="9" t="n">
        <v>56</v>
      </c>
      <c r="D13" s="3" t="n">
        <v>0.9016</v>
      </c>
      <c r="E13" s="3" t="n">
        <v>1.1161</v>
      </c>
      <c r="F13" s="3" t="n">
        <f aca="false">Corpus!E13/(Corpus!E13+Corpus!F13)</f>
        <v>0.895454545454546</v>
      </c>
      <c r="G13" s="3" t="n">
        <f aca="false">Corpus!E13/(Corpus!E13-Corpus!F13)</f>
        <v>1.13218390804598</v>
      </c>
      <c r="H13" s="5" t="n">
        <v>0.286</v>
      </c>
      <c r="I13" s="9" t="n">
        <v>34</v>
      </c>
      <c r="J13" s="5" t="n">
        <v>3.225</v>
      </c>
      <c r="K13" s="3" t="n">
        <v>0.9268</v>
      </c>
      <c r="L13" s="3" t="n">
        <v>1.0231</v>
      </c>
      <c r="M13" s="3" t="n">
        <f aca="false">IF(Corpus!Q13="None",1,Corpus!N13/Corpus!H13)</f>
        <v>0.459627329192547</v>
      </c>
      <c r="N13" s="3" t="n">
        <f aca="false">IF(Corpus!Q13="None",1,Corpus!J13/Corpus!H13)</f>
        <v>1.11490683229814</v>
      </c>
    </row>
    <row r="14" s="1" customFormat="true" ht="15" hidden="false" customHeight="true" outlineLevel="0" collapsed="false">
      <c r="A14" s="1" t="s">
        <v>127</v>
      </c>
      <c r="B14" s="1" t="s">
        <v>128</v>
      </c>
      <c r="C14" s="9" t="n">
        <v>57</v>
      </c>
      <c r="D14" s="3" t="n">
        <v>0.8914</v>
      </c>
      <c r="E14" s="3" t="n">
        <v>1.114</v>
      </c>
      <c r="F14" s="3" t="n">
        <f aca="false">Corpus!E14/(Corpus!E14+Corpus!F14)</f>
        <v>0.893325727324587</v>
      </c>
      <c r="G14" s="3" t="n">
        <f aca="false">Corpus!E14/(Corpus!E14-Corpus!F14)</f>
        <v>1.13560551124003</v>
      </c>
      <c r="H14" s="5" t="n">
        <v>0.281</v>
      </c>
      <c r="I14" s="9" t="n">
        <v>0</v>
      </c>
      <c r="J14" s="5" t="n">
        <v>1</v>
      </c>
      <c r="K14" s="3" t="n">
        <v>1</v>
      </c>
      <c r="L14" s="3" t="n">
        <v>1</v>
      </c>
      <c r="M14" s="3" t="n">
        <f aca="false">IF(Corpus!Q14="None",1,Corpus!N14/Corpus!H14)</f>
        <v>1</v>
      </c>
      <c r="N14" s="3" t="n">
        <f aca="false">IF(Corpus!Q14="None",1,Corpus!J14/Corpus!H14)</f>
        <v>1</v>
      </c>
    </row>
    <row r="15" s="1" customFormat="true" ht="15" hidden="false" customHeight="true" outlineLevel="0" collapsed="false">
      <c r="A15" s="1" t="s">
        <v>129</v>
      </c>
      <c r="B15" s="1" t="s">
        <v>129</v>
      </c>
      <c r="C15" s="9" t="n">
        <v>57</v>
      </c>
      <c r="D15" s="3" t="n">
        <v>0.8991</v>
      </c>
      <c r="E15" s="3" t="n">
        <v>1.1292</v>
      </c>
      <c r="F15" s="3" t="n">
        <f aca="false">Corpus!E15/(Corpus!E15+Corpus!F15)</f>
        <v>0.892815758980301</v>
      </c>
      <c r="G15" s="3" t="n">
        <f aca="false">Corpus!E15/(Corpus!E15-Corpus!F15)</f>
        <v>1.13643067846608</v>
      </c>
      <c r="H15" s="5" t="n">
        <v>0.368</v>
      </c>
      <c r="I15" s="9" t="n">
        <v>40</v>
      </c>
      <c r="J15" s="5" t="n">
        <v>1.609</v>
      </c>
      <c r="K15" s="3" t="n">
        <v>0.9887</v>
      </c>
      <c r="L15" s="3" t="n">
        <v>1.0187</v>
      </c>
      <c r="M15" s="3" t="n">
        <f aca="false">IF(Corpus!Q15="None",1,Corpus!N15/Corpus!H15)</f>
        <v>0.633540372670807</v>
      </c>
      <c r="N15" s="3" t="n">
        <f aca="false">IF(Corpus!Q15="None",1,Corpus!J15/Corpus!H15)</f>
        <v>1.07453416149068</v>
      </c>
    </row>
    <row r="16" s="1" customFormat="true" ht="15" hidden="false" customHeight="true" outlineLevel="0" collapsed="false">
      <c r="A16" s="1" t="s">
        <v>130</v>
      </c>
      <c r="B16" s="1" t="s">
        <v>130</v>
      </c>
      <c r="C16" s="9" t="n">
        <v>57</v>
      </c>
      <c r="D16" s="3" t="n">
        <v>0.8995</v>
      </c>
      <c r="E16" s="3" t="n">
        <v>1.1094</v>
      </c>
      <c r="F16" s="3" t="n">
        <f aca="false">Corpus!E16/(Corpus!E16+Corpus!F16)</f>
        <v>0.873279816513762</v>
      </c>
      <c r="G16" s="3" t="n">
        <f aca="false">Corpus!E16/(Corpus!E16-Corpus!F16)</f>
        <v>1.16973886328725</v>
      </c>
      <c r="H16" s="5" t="n">
        <v>0.246</v>
      </c>
      <c r="I16" s="9" t="n">
        <v>40</v>
      </c>
      <c r="J16" s="5" t="n">
        <v>1.832</v>
      </c>
      <c r="K16" s="3" t="n">
        <v>0.9849</v>
      </c>
      <c r="L16" s="3" t="n">
        <v>1.0171</v>
      </c>
      <c r="M16" s="3" t="n">
        <f aca="false">IF(Corpus!Q16="None",1,Corpus!N16/Corpus!H16)</f>
        <v>0.584699453551913</v>
      </c>
      <c r="N16" s="3" t="n">
        <f aca="false">IF(Corpus!Q16="None",1,Corpus!J16/Corpus!H16)</f>
        <v>1.08196721311475</v>
      </c>
    </row>
    <row r="17" s="1" customFormat="true" ht="15" hidden="false" customHeight="true" outlineLevel="0" collapsed="false">
      <c r="A17" s="1" t="s">
        <v>131</v>
      </c>
      <c r="B17" s="1" t="s">
        <v>131</v>
      </c>
      <c r="C17" s="9" t="n">
        <v>56</v>
      </c>
      <c r="D17" s="3" t="n">
        <v>0.8803</v>
      </c>
      <c r="E17" s="3" t="n">
        <v>1.1087</v>
      </c>
      <c r="F17" s="3" t="n">
        <f aca="false">Corpus!E17/(Corpus!E17+Corpus!F17)</f>
        <v>0.888380080137378</v>
      </c>
      <c r="G17" s="3" t="n">
        <f aca="false">Corpus!E17/(Corpus!E17-Corpus!F17)</f>
        <v>1.14369933677229</v>
      </c>
      <c r="H17" s="5" t="n">
        <v>0.339</v>
      </c>
      <c r="I17" s="9" t="n">
        <v>39</v>
      </c>
      <c r="J17" s="5" t="n">
        <v>1.968</v>
      </c>
      <c r="K17" s="3" t="n">
        <v>0.9665</v>
      </c>
      <c r="L17" s="3" t="n">
        <v>1.0241</v>
      </c>
      <c r="M17" s="3" t="n">
        <f aca="false">IF(Corpus!Q17="None",1,Corpus!N17/Corpus!H17)</f>
        <v>0.558375634517767</v>
      </c>
      <c r="N17" s="3" t="n">
        <f aca="false">IF(Corpus!Q17="None",1,Corpus!J17/Corpus!H17)</f>
        <v>1.06598984771574</v>
      </c>
    </row>
    <row r="18" s="1" customFormat="true" ht="15" hidden="false" customHeight="true" outlineLevel="0" collapsed="false">
      <c r="A18" s="1" t="s">
        <v>132</v>
      </c>
      <c r="B18" s="1" t="s">
        <v>132</v>
      </c>
      <c r="C18" s="9" t="n">
        <v>56</v>
      </c>
      <c r="D18" s="3" t="n">
        <v>0.8993</v>
      </c>
      <c r="E18" s="3" t="n">
        <v>1.1416</v>
      </c>
      <c r="F18" s="3" t="n">
        <f aca="false">Corpus!E18/(Corpus!E18+Corpus!F18)</f>
        <v>0.885878962536023</v>
      </c>
      <c r="G18" s="3" t="n">
        <f aca="false">Corpus!E18/(Corpus!E18-Corpus!F18)</f>
        <v>1.1478715459298</v>
      </c>
      <c r="H18" s="5" t="n">
        <v>0.375</v>
      </c>
      <c r="I18" s="9" t="n">
        <v>39</v>
      </c>
      <c r="J18" s="5" t="n">
        <v>3.695</v>
      </c>
      <c r="K18" s="3" t="n">
        <v>0.9596</v>
      </c>
      <c r="L18" s="3" t="n">
        <v>1.0229</v>
      </c>
      <c r="M18" s="3" t="n">
        <f aca="false">IF(Corpus!Q18="None",1,Corpus!N18/Corpus!H18)</f>
        <v>0.548648648648649</v>
      </c>
      <c r="N18" s="3" t="n">
        <f aca="false">IF(Corpus!Q18="None",1,Corpus!J18/Corpus!H18)</f>
        <v>1.10810810810811</v>
      </c>
    </row>
    <row r="19" s="1" customFormat="true" ht="15" hidden="false" customHeight="true" outlineLevel="0" collapsed="false">
      <c r="A19" s="1" t="s">
        <v>133</v>
      </c>
      <c r="B19" s="1" t="s">
        <v>134</v>
      </c>
      <c r="C19" s="9" t="n">
        <v>57</v>
      </c>
      <c r="D19" s="3" t="n">
        <v>0.8987</v>
      </c>
      <c r="E19" s="3" t="n">
        <v>1.1107</v>
      </c>
      <c r="F19" s="3" t="n">
        <f aca="false">Corpus!E19/(Corpus!E19+Corpus!F19)</f>
        <v>0.885876418663304</v>
      </c>
      <c r="G19" s="3" t="n">
        <f aca="false">Corpus!E19/(Corpus!E19-Corpus!F19)</f>
        <v>1.14787581699346</v>
      </c>
      <c r="H19" s="5" t="n">
        <v>0.246</v>
      </c>
      <c r="I19" s="9" t="n">
        <v>0</v>
      </c>
      <c r="J19" s="5" t="n">
        <v>1</v>
      </c>
      <c r="K19" s="3" t="n">
        <v>1</v>
      </c>
      <c r="L19" s="3" t="n">
        <v>1</v>
      </c>
      <c r="M19" s="3" t="n">
        <f aca="false">IF(Corpus!Q19="None",1,Corpus!N19/Corpus!H19)</f>
        <v>1</v>
      </c>
      <c r="N19" s="3" t="n">
        <f aca="false">IF(Corpus!Q19="None",1,Corpus!J19/Corpus!H19)</f>
        <v>1</v>
      </c>
    </row>
    <row r="20" s="1" customFormat="true" ht="15" hidden="false" customHeight="true" outlineLevel="0" collapsed="false">
      <c r="A20" s="1" t="s">
        <v>135</v>
      </c>
      <c r="B20" s="1" t="s">
        <v>135</v>
      </c>
      <c r="C20" s="9" t="n">
        <v>57</v>
      </c>
      <c r="D20" s="3" t="n">
        <v>0.9022</v>
      </c>
      <c r="E20" s="3" t="n">
        <v>1.111</v>
      </c>
      <c r="F20" s="3" t="n">
        <f aca="false">Corpus!E20/(Corpus!E20+Corpus!F20)</f>
        <v>0.905610561056106</v>
      </c>
      <c r="G20" s="3" t="n">
        <f aca="false">Corpus!E20/(Corpus!E20-Corpus!F20)</f>
        <v>1.11635475996745</v>
      </c>
      <c r="H20" s="5" t="n">
        <v>0.211</v>
      </c>
      <c r="I20" s="9" t="n">
        <v>40</v>
      </c>
      <c r="J20" s="5" t="n">
        <v>1.436</v>
      </c>
      <c r="K20" s="3" t="n">
        <v>0.9799</v>
      </c>
      <c r="L20" s="3" t="n">
        <v>1.0185</v>
      </c>
      <c r="M20" s="3" t="n">
        <f aca="false">IF(Corpus!Q20="None",1,Corpus!N20/Corpus!H20)</f>
        <v>0.701388888888889</v>
      </c>
      <c r="N20" s="3" t="n">
        <f aca="false">IF(Corpus!Q20="None",1,Corpus!J20/Corpus!H20)</f>
        <v>1.04861111111111</v>
      </c>
    </row>
    <row r="21" s="1" customFormat="true" ht="15.75" hidden="false" customHeight="true" outlineLevel="0" collapsed="false">
      <c r="A21" s="1" t="s">
        <v>136</v>
      </c>
      <c r="B21" s="1" t="s">
        <v>136</v>
      </c>
      <c r="C21" s="9" t="n">
        <v>57</v>
      </c>
      <c r="D21" s="3" t="n">
        <v>0.9003</v>
      </c>
      <c r="E21" s="3" t="n">
        <v>1.1104</v>
      </c>
      <c r="F21" s="3" t="n">
        <f aca="false">Corpus!E21/(Corpus!E21+Corpus!F21)</f>
        <v>0.899934167215273</v>
      </c>
      <c r="G21" s="3" t="n">
        <f aca="false">Corpus!E21/(Corpus!E21-Corpus!F21)</f>
        <v>1.12510288065844</v>
      </c>
      <c r="H21" s="5" t="n">
        <v>0.351</v>
      </c>
      <c r="I21" s="9" t="n">
        <v>40</v>
      </c>
      <c r="J21" s="5" t="n">
        <v>1.665</v>
      </c>
      <c r="K21" s="3" t="n">
        <v>0.9877</v>
      </c>
      <c r="L21" s="3" t="n">
        <v>1.0957</v>
      </c>
      <c r="M21" s="3" t="n">
        <f aca="false">IF(Corpus!Q21="None",1,Corpus!N21/Corpus!H21)</f>
        <v>0.646706586826347</v>
      </c>
      <c r="N21" s="3" t="n">
        <f aca="false">IF(Corpus!Q21="None",1,Corpus!J21/Corpus!H21)</f>
        <v>1.06586826347305</v>
      </c>
    </row>
    <row r="22" s="1" customFormat="true" ht="15.75" hidden="false" customHeight="true" outlineLevel="0" collapsed="false">
      <c r="A22" s="1" t="s">
        <v>137</v>
      </c>
      <c r="B22" s="1" t="s">
        <v>137</v>
      </c>
      <c r="C22" s="9" t="n">
        <v>56</v>
      </c>
      <c r="D22" s="3" t="n">
        <v>0.8994</v>
      </c>
      <c r="E22" s="3" t="n">
        <v>1.1045</v>
      </c>
      <c r="F22" s="3" t="n">
        <f aca="false">Corpus!E22/(Corpus!E22+Corpus!F22)</f>
        <v>0.912280701754386</v>
      </c>
      <c r="G22" s="3" t="n">
        <f aca="false">Corpus!E22/(Corpus!E22-Corpus!F22)</f>
        <v>1.1063829787234</v>
      </c>
      <c r="H22" s="5" t="n">
        <v>0.268</v>
      </c>
      <c r="I22" s="9" t="n">
        <v>39</v>
      </c>
      <c r="J22" s="5" t="n">
        <v>2.911</v>
      </c>
      <c r="K22" s="3" t="n">
        <v>0.9627</v>
      </c>
      <c r="L22" s="3" t="n">
        <v>1.0404</v>
      </c>
      <c r="M22" s="3" t="n">
        <f aca="false">IF(Corpus!Q22="None",1,Corpus!N22/Corpus!H22)</f>
        <v>0.429553264604811</v>
      </c>
      <c r="N22" s="3" t="n">
        <f aca="false">IF(Corpus!Q22="None",1,Corpus!J22/Corpus!H22)</f>
        <v>0.910652920962199</v>
      </c>
    </row>
    <row r="23" s="1" customFormat="true" ht="15.75" hidden="false" customHeight="true" outlineLevel="0" collapsed="false">
      <c r="A23" s="1" t="s">
        <v>138</v>
      </c>
      <c r="B23" s="1" t="s">
        <v>138</v>
      </c>
      <c r="C23" s="9" t="n">
        <v>23</v>
      </c>
      <c r="D23" s="3" t="n">
        <v>0.8561</v>
      </c>
      <c r="E23" s="3" t="n">
        <v>1.1887</v>
      </c>
      <c r="F23" s="3" t="n">
        <f aca="false">Corpus!E23/(Corpus!E23+Corpus!F23)</f>
        <v>0.850335980452046</v>
      </c>
      <c r="G23" s="3" t="n">
        <f aca="false">Corpus!E23/(Corpus!E23-Corpus!F23)</f>
        <v>1.21360069747167</v>
      </c>
      <c r="H23" s="5" t="n">
        <v>0.261</v>
      </c>
      <c r="I23" s="9" t="n">
        <v>26</v>
      </c>
      <c r="J23" s="5" t="n">
        <v>12.493</v>
      </c>
      <c r="K23" s="3" t="n">
        <v>0.7802</v>
      </c>
      <c r="L23" s="3" t="n">
        <v>1.2569</v>
      </c>
      <c r="M23" s="3" t="n">
        <f aca="false">IF(Corpus!Q23="None",1,Corpus!N23/Corpus!H23)</f>
        <v>0.297037630104083</v>
      </c>
      <c r="N23" s="3" t="n">
        <f aca="false">IF(Corpus!Q23="None",1,Corpus!J23/Corpus!H23)</f>
        <v>1.00080064051241</v>
      </c>
    </row>
    <row r="24" s="1" customFormat="true" ht="15.75" hidden="false" customHeight="true" outlineLevel="0" collapsed="false">
      <c r="A24" s="1" t="s">
        <v>139</v>
      </c>
      <c r="B24" s="1" t="s">
        <v>140</v>
      </c>
      <c r="C24" s="9" t="n">
        <v>57</v>
      </c>
      <c r="D24" s="3" t="n">
        <v>0.8933</v>
      </c>
      <c r="E24" s="3" t="n">
        <v>1.1286</v>
      </c>
      <c r="F24" s="3" t="n">
        <f aca="false">Corpus!E24/(Corpus!E24+Corpus!F24)</f>
        <v>0.871327254305978</v>
      </c>
      <c r="G24" s="3" t="n">
        <f aca="false">Corpus!E24/(Corpus!E24-Corpus!F24)</f>
        <v>1.17326057298772</v>
      </c>
      <c r="H24" s="5" t="n">
        <v>0.246</v>
      </c>
      <c r="I24" s="9" t="n">
        <v>0</v>
      </c>
      <c r="J24" s="5" t="n">
        <v>1</v>
      </c>
      <c r="K24" s="3" t="n">
        <v>1</v>
      </c>
      <c r="L24" s="3" t="n">
        <v>1</v>
      </c>
      <c r="M24" s="3" t="n">
        <f aca="false">IF(Corpus!Q24="None",1,Corpus!N24/Corpus!H24)</f>
        <v>1</v>
      </c>
      <c r="N24" s="3" t="n">
        <f aca="false">IF(Corpus!Q24="None",1,Corpus!J24/Corpus!H24)</f>
        <v>1</v>
      </c>
    </row>
    <row r="25" s="1" customFormat="true" ht="15.75" hidden="false" customHeight="true" outlineLevel="0" collapsed="false">
      <c r="A25" s="1" t="s">
        <v>141</v>
      </c>
      <c r="B25" s="1" t="s">
        <v>141</v>
      </c>
      <c r="C25" s="9" t="n">
        <v>57</v>
      </c>
      <c r="D25" s="3" t="n">
        <v>0.8956</v>
      </c>
      <c r="E25" s="3" t="n">
        <v>1.1064</v>
      </c>
      <c r="F25" s="3" t="n">
        <f aca="false">Corpus!E25/(Corpus!E25+Corpus!F25)</f>
        <v>0.849630996309963</v>
      </c>
      <c r="G25" s="3" t="n">
        <f aca="false">Corpus!E25/(Corpus!E25-Corpus!F25)</f>
        <v>1.21503957783641</v>
      </c>
      <c r="H25" s="5" t="n">
        <v>0.211</v>
      </c>
      <c r="I25" s="9" t="n">
        <v>40</v>
      </c>
      <c r="J25" s="5" t="n">
        <v>1.347</v>
      </c>
      <c r="K25" s="3" t="n">
        <v>0.9913</v>
      </c>
      <c r="L25" s="3" t="n">
        <v>1.0137</v>
      </c>
      <c r="M25" s="3" t="n">
        <f aca="false">IF(Corpus!Q25="None",1,Corpus!N25/Corpus!H25)</f>
        <v>0.748148148148148</v>
      </c>
      <c r="N25" s="3" t="n">
        <f aca="false">IF(Corpus!Q25="None",1,Corpus!J25/Corpus!H25)</f>
        <v>1.04444444444444</v>
      </c>
    </row>
    <row r="26" s="1" customFormat="true" ht="15.75" hidden="false" customHeight="true" outlineLevel="0" collapsed="false">
      <c r="A26" s="1" t="s">
        <v>142</v>
      </c>
      <c r="B26" s="1" t="s">
        <v>142</v>
      </c>
      <c r="C26" s="9" t="n">
        <v>57</v>
      </c>
      <c r="D26" s="3" t="n">
        <v>0.8776</v>
      </c>
      <c r="E26" s="3" t="n">
        <v>1.1057</v>
      </c>
      <c r="F26" s="3" t="n">
        <f aca="false">Corpus!E26/(Corpus!E26+Corpus!F26)</f>
        <v>0.896817743490839</v>
      </c>
      <c r="G26" s="3" t="n">
        <f aca="false">Corpus!E26/(Corpus!E26-Corpus!F26)</f>
        <v>1.13001215066829</v>
      </c>
      <c r="H26" s="5" t="n">
        <v>0.316</v>
      </c>
      <c r="I26" s="9" t="n">
        <v>40</v>
      </c>
      <c r="J26" s="5" t="n">
        <v>1.747</v>
      </c>
      <c r="K26" s="3" t="n">
        <v>0.9733</v>
      </c>
      <c r="L26" s="3" t="n">
        <v>1.0297</v>
      </c>
      <c r="M26" s="3" t="n">
        <f aca="false">IF(Corpus!Q26="None",1,Corpus!N26/Corpus!H26)</f>
        <v>0.605714285714286</v>
      </c>
      <c r="N26" s="3" t="n">
        <f aca="false">IF(Corpus!Q26="None",1,Corpus!J26/Corpus!H26)</f>
        <v>0.977142857142857</v>
      </c>
    </row>
    <row r="27" s="1" customFormat="true" ht="15.75" hidden="false" customHeight="true" outlineLevel="0" collapsed="false">
      <c r="A27" s="1" t="s">
        <v>143</v>
      </c>
      <c r="B27" s="1" t="s">
        <v>143</v>
      </c>
      <c r="C27" s="9" t="n">
        <v>56</v>
      </c>
      <c r="D27" s="3" t="n">
        <v>0.8899</v>
      </c>
      <c r="E27" s="3" t="n">
        <v>1.1001</v>
      </c>
      <c r="F27" s="3" t="n">
        <f aca="false">Corpus!E27/(Corpus!E27+Corpus!F27)</f>
        <v>0.89207258834766</v>
      </c>
      <c r="G27" s="3" t="n">
        <f aca="false">Corpus!E27/(Corpus!E27-Corpus!F27)</f>
        <v>1.13763702801462</v>
      </c>
      <c r="H27" s="5" t="n">
        <v>0.286</v>
      </c>
      <c r="I27" s="9" t="n">
        <v>39</v>
      </c>
      <c r="J27" s="5" t="n">
        <v>2.196</v>
      </c>
      <c r="K27" s="3" t="n">
        <v>0.9705</v>
      </c>
      <c r="L27" s="3" t="n">
        <v>1.0694</v>
      </c>
      <c r="M27" s="3" t="n">
        <f aca="false">IF(Corpus!Q27="None",1,Corpus!N27/Corpus!H27)</f>
        <v>0.559090909090909</v>
      </c>
      <c r="N27" s="3" t="n">
        <f aca="false">IF(Corpus!Q27="None",1,Corpus!J27/Corpus!H27)</f>
        <v>1.08181818181818</v>
      </c>
    </row>
    <row r="28" s="1" customFormat="true" ht="15.75" hidden="false" customHeight="true" outlineLevel="0" collapsed="false">
      <c r="A28" s="1" t="s">
        <v>144</v>
      </c>
      <c r="B28" s="1" t="s">
        <v>144</v>
      </c>
      <c r="C28" s="9" t="n">
        <v>44</v>
      </c>
      <c r="D28" s="3" t="n">
        <v>0.9036</v>
      </c>
      <c r="E28" s="3" t="n">
        <v>1.1253</v>
      </c>
      <c r="F28" s="3" t="n">
        <f aca="false">Corpus!E28/(Corpus!E28+Corpus!F28)</f>
        <v>0.904446546830653</v>
      </c>
      <c r="G28" s="3" t="n">
        <f aca="false">Corpus!E28/(Corpus!E28-Corpus!F28)</f>
        <v>1.11812865497076</v>
      </c>
      <c r="H28" s="5" t="n">
        <v>0.273</v>
      </c>
      <c r="I28" s="9" t="n">
        <v>39</v>
      </c>
      <c r="J28" s="5" t="n">
        <v>3.885</v>
      </c>
      <c r="K28" s="3" t="n">
        <v>0.9461</v>
      </c>
      <c r="L28" s="3" t="n">
        <v>1.0915</v>
      </c>
      <c r="M28" s="3" t="n">
        <f aca="false">IF(Corpus!Q28="None",1,Corpus!N28/Corpus!H28)</f>
        <v>0.370179948586118</v>
      </c>
      <c r="N28" s="3" t="n">
        <f aca="false">IF(Corpus!Q28="None",1,Corpus!J28/Corpus!H28)</f>
        <v>1.04113110539846</v>
      </c>
    </row>
    <row r="29" s="1" customFormat="true" ht="15.75" hidden="false" customHeight="true" outlineLevel="0" collapsed="false">
      <c r="A29" s="1" t="s">
        <v>145</v>
      </c>
      <c r="B29" s="1" t="s">
        <v>145</v>
      </c>
      <c r="C29" s="9" t="n">
        <v>57</v>
      </c>
      <c r="D29" s="3" t="n">
        <v>0.8903</v>
      </c>
      <c r="E29" s="3" t="n">
        <v>1.1137</v>
      </c>
      <c r="F29" s="3" t="n">
        <f aca="false">Corpus!E29/(Corpus!E29+Corpus!F29)</f>
        <v>0.868758915834522</v>
      </c>
      <c r="G29" s="3" t="n">
        <f aca="false">Corpus!E29/(Corpus!E29-Corpus!F29)</f>
        <v>1.1779497098646</v>
      </c>
      <c r="H29" s="5" t="n">
        <v>0.333</v>
      </c>
      <c r="I29" s="9" t="n">
        <v>39</v>
      </c>
      <c r="J29" s="5" t="n">
        <v>1.708</v>
      </c>
      <c r="K29" s="3" t="n">
        <v>0.9514</v>
      </c>
      <c r="L29" s="3" t="n">
        <v>1.1035</v>
      </c>
      <c r="M29" s="3" t="n">
        <f aca="false">IF(Corpus!Q29="None",1,Corpus!N29/Corpus!H29)</f>
        <v>0.596491228070176</v>
      </c>
      <c r="N29" s="3" t="n">
        <f aca="false">IF(Corpus!Q29="None",1,Corpus!J29/Corpus!H29)</f>
        <v>1.21052631578947</v>
      </c>
    </row>
    <row r="30" s="1" customFormat="true" ht="15.75" hidden="false" customHeight="true" outlineLevel="0" collapsed="false">
      <c r="A30" s="1" t="s">
        <v>147</v>
      </c>
      <c r="B30" s="1" t="s">
        <v>147</v>
      </c>
      <c r="C30" s="9" t="n">
        <v>57</v>
      </c>
      <c r="D30" s="3" t="n">
        <v>0.8957</v>
      </c>
      <c r="E30" s="3" t="n">
        <v>1.1175</v>
      </c>
      <c r="F30" s="3" t="n">
        <f aca="false">Corpus!E30/(Corpus!E30+Corpus!F30)</f>
        <v>0.876790830945559</v>
      </c>
      <c r="G30" s="3" t="n">
        <f aca="false">Corpus!E30/(Corpus!E30-Corpus!F30)</f>
        <v>1.16349809885932</v>
      </c>
      <c r="H30" s="5" t="n">
        <v>0.333</v>
      </c>
      <c r="I30" s="9" t="n">
        <v>39</v>
      </c>
      <c r="J30" s="5" t="n">
        <v>1.448</v>
      </c>
      <c r="K30" s="3" t="n">
        <v>0.9768</v>
      </c>
      <c r="L30" s="3" t="n">
        <v>1.0135</v>
      </c>
      <c r="M30" s="3" t="n">
        <f aca="false">IF(Corpus!Q30="None",1,Corpus!N30/Corpus!H30)</f>
        <v>0.696551724137931</v>
      </c>
      <c r="N30" s="3" t="n">
        <f aca="false">IF(Corpus!Q30="None",1,Corpus!J30/Corpus!H30)</f>
        <v>1.13103448275862</v>
      </c>
    </row>
    <row r="31" s="1" customFormat="true" ht="15.75" hidden="false" customHeight="true" outlineLevel="0" collapsed="false">
      <c r="A31" s="1" t="s">
        <v>148</v>
      </c>
      <c r="B31" s="1" t="s">
        <v>148</v>
      </c>
      <c r="C31" s="9" t="n">
        <v>57</v>
      </c>
      <c r="D31" s="3" t="n">
        <v>0.8834</v>
      </c>
      <c r="E31" s="3" t="n">
        <v>1.1052</v>
      </c>
      <c r="F31" s="3" t="n">
        <f aca="false">Corpus!E31/(Corpus!E31+Corpus!F31)</f>
        <v>0.870921985815603</v>
      </c>
      <c r="G31" s="3" t="n">
        <f aca="false">Corpus!E31/(Corpus!E31-Corpus!F31)</f>
        <v>1.17399617590822</v>
      </c>
      <c r="H31" s="5" t="n">
        <v>0.351</v>
      </c>
      <c r="I31" s="9" t="n">
        <v>39</v>
      </c>
      <c r="J31" s="5" t="n">
        <v>1.692</v>
      </c>
      <c r="K31" s="3" t="n">
        <v>0.9722</v>
      </c>
      <c r="L31" s="3" t="n">
        <v>1.1574</v>
      </c>
      <c r="M31" s="3" t="n">
        <f aca="false">IF(Corpus!Q31="None",1,Corpus!N31/Corpus!H31)</f>
        <v>0.603550295857988</v>
      </c>
      <c r="N31" s="3" t="n">
        <f aca="false">IF(Corpus!Q31="None",1,Corpus!J31/Corpus!H31)</f>
        <v>1.18934911242604</v>
      </c>
    </row>
    <row r="32" s="1" customFormat="true" ht="15.75" hidden="false" customHeight="true" outlineLevel="0" collapsed="false">
      <c r="A32" s="1" t="s">
        <v>149</v>
      </c>
      <c r="B32" s="1" t="s">
        <v>149</v>
      </c>
      <c r="C32" s="9" t="n">
        <v>56</v>
      </c>
      <c r="D32" s="3" t="n">
        <v>0.8901</v>
      </c>
      <c r="E32" s="3" t="n">
        <v>1.1104</v>
      </c>
      <c r="F32" s="3" t="n">
        <f aca="false">Corpus!E32/(Corpus!E32+Corpus!F32)</f>
        <v>0.872340425531915</v>
      </c>
      <c r="G32" s="3" t="n">
        <f aca="false">Corpus!E32/(Corpus!E32-Corpus!F32)</f>
        <v>1.17142857142857</v>
      </c>
      <c r="H32" s="5" t="n">
        <v>0.393</v>
      </c>
      <c r="I32" s="9" t="n">
        <v>39</v>
      </c>
      <c r="J32" s="5" t="n">
        <v>2.389</v>
      </c>
      <c r="K32" s="3" t="n">
        <v>0.9751</v>
      </c>
      <c r="L32" s="3" t="n">
        <v>1.0129</v>
      </c>
      <c r="M32" s="3" t="n">
        <f aca="false">IF(Corpus!Q32="None",1,Corpus!N32/Corpus!H32)</f>
        <v>0.476987447698745</v>
      </c>
      <c r="N32" s="3" t="n">
        <f aca="false">IF(Corpus!Q32="None",1,Corpus!J32/Corpus!H32)</f>
        <v>1.2510460251046</v>
      </c>
    </row>
    <row r="33" s="1" customFormat="true" ht="15.75" hidden="false" customHeight="true" outlineLevel="0" collapsed="false">
      <c r="A33" s="1" t="s">
        <v>150</v>
      </c>
      <c r="B33" s="1" t="s">
        <v>150</v>
      </c>
      <c r="C33" s="9" t="n">
        <v>56</v>
      </c>
      <c r="D33" s="3" t="n">
        <v>0.892</v>
      </c>
      <c r="E33" s="3" t="n">
        <v>1.1057</v>
      </c>
      <c r="F33" s="3" t="n">
        <f aca="false">Corpus!E33/(Corpus!E33+Corpus!F33)</f>
        <v>0.861150070126227</v>
      </c>
      <c r="G33" s="3" t="n">
        <f aca="false">Corpus!E33/(Corpus!E33-Corpus!F33)</f>
        <v>1.19223300970874</v>
      </c>
      <c r="H33" s="5" t="n">
        <v>0.339</v>
      </c>
      <c r="I33" s="9" t="n">
        <v>38</v>
      </c>
      <c r="J33" s="5" t="n">
        <v>2.459</v>
      </c>
      <c r="K33" s="3" t="n">
        <v>0.9676</v>
      </c>
      <c r="L33" s="3" t="n">
        <v>1.1021</v>
      </c>
      <c r="M33" s="3" t="n">
        <f aca="false">IF(Corpus!Q33="None",1,Corpus!N33/Corpus!H33)</f>
        <v>0.524390243902439</v>
      </c>
      <c r="N33" s="3" t="n">
        <f aca="false">IF(Corpus!Q33="None",1,Corpus!J33/Corpus!H33)</f>
        <v>1.43089430894309</v>
      </c>
    </row>
    <row r="34" s="1" customFormat="true" ht="15.75" hidden="false" customHeight="true" outlineLevel="0" collapsed="false">
      <c r="A34" s="1" t="s">
        <v>151</v>
      </c>
      <c r="B34" s="1" t="s">
        <v>151</v>
      </c>
      <c r="C34" s="9" t="n">
        <v>41</v>
      </c>
      <c r="D34" s="3" t="n">
        <v>0.8815</v>
      </c>
      <c r="E34" s="3" t="n">
        <v>1.1126</v>
      </c>
      <c r="F34" s="3" t="n">
        <f aca="false">Corpus!E34/(Corpus!E34+Corpus!F34)</f>
        <v>0.865267433987813</v>
      </c>
      <c r="G34" s="3" t="n">
        <f aca="false">Corpus!E34/(Corpus!E34-Corpus!F34)</f>
        <v>1.18443002780352</v>
      </c>
      <c r="H34" s="5" t="n">
        <v>0.268</v>
      </c>
      <c r="I34" s="9" t="n">
        <v>40</v>
      </c>
      <c r="J34" s="5" t="n">
        <v>1.598</v>
      </c>
      <c r="K34" s="3" t="n">
        <v>0.986</v>
      </c>
      <c r="L34" s="3" t="n">
        <v>1.0229</v>
      </c>
      <c r="M34" s="3" t="n">
        <f aca="false">IF(Corpus!Q34="None",1,Corpus!N34/Corpus!H34)</f>
        <v>0.64375</v>
      </c>
      <c r="N34" s="3" t="n">
        <f aca="false">IF(Corpus!Q34="None",1,Corpus!J34/Corpus!H34)</f>
        <v>1.275</v>
      </c>
    </row>
    <row r="35" s="1" customFormat="true" ht="15.75" hidden="false" customHeight="true" outlineLevel="0" collapsed="false">
      <c r="A35" s="1" t="s">
        <v>152</v>
      </c>
      <c r="B35" s="1" t="s">
        <v>152</v>
      </c>
      <c r="C35" s="9" t="n">
        <v>41</v>
      </c>
      <c r="D35" s="3" t="n">
        <v>0.8847</v>
      </c>
      <c r="E35" s="3" t="n">
        <v>1.1121</v>
      </c>
      <c r="F35" s="3" t="n">
        <f aca="false">Corpus!E35/(Corpus!E35+Corpus!F35)</f>
        <v>0.86035737921906</v>
      </c>
      <c r="G35" s="3" t="n">
        <f aca="false">Corpus!E35/(Corpus!E35-Corpus!F35)</f>
        <v>1.19375573921028</v>
      </c>
      <c r="H35" s="5" t="n">
        <v>0.22</v>
      </c>
      <c r="I35" s="9" t="n">
        <v>40</v>
      </c>
      <c r="J35" s="5" t="n">
        <v>1.428</v>
      </c>
      <c r="K35" s="3" t="n">
        <v>0.9947</v>
      </c>
      <c r="L35" s="3" t="n">
        <v>1.0209</v>
      </c>
      <c r="M35" s="3" t="n">
        <f aca="false">IF(Corpus!Q35="None",1,Corpus!N35/Corpus!H35)</f>
        <v>0.713286713286713</v>
      </c>
      <c r="N35" s="3" t="n">
        <f aca="false">IF(Corpus!Q35="None",1,Corpus!J35/Corpus!H35)</f>
        <v>1.20979020979021</v>
      </c>
    </row>
    <row r="36" s="1" customFormat="true" ht="15.75" hidden="false" customHeight="true" outlineLevel="0" collapsed="false">
      <c r="A36" s="1" t="s">
        <v>153</v>
      </c>
      <c r="B36" s="1" t="s">
        <v>153</v>
      </c>
      <c r="C36" s="9" t="n">
        <v>41</v>
      </c>
      <c r="D36" s="3" t="n">
        <v>0.8771</v>
      </c>
      <c r="E36" s="3" t="n">
        <v>1.1027</v>
      </c>
      <c r="F36" s="3" t="n">
        <f aca="false">Corpus!E36/(Corpus!E36+Corpus!F36)</f>
        <v>0.822777101096224</v>
      </c>
      <c r="G36" s="3" t="n">
        <f aca="false">Corpus!E36/(Corpus!E36-Corpus!F36)</f>
        <v>1.27452830188679</v>
      </c>
      <c r="H36" s="5" t="n">
        <v>0.244</v>
      </c>
      <c r="I36" s="9" t="n">
        <v>40</v>
      </c>
      <c r="J36" s="5" t="n">
        <v>1.583</v>
      </c>
      <c r="K36" s="3" t="n">
        <v>0.9907</v>
      </c>
      <c r="L36" s="3" t="n">
        <v>1.0184</v>
      </c>
      <c r="M36" s="3" t="n">
        <f aca="false">IF(Corpus!Q36="None",1,Corpus!N36/Corpus!H36)</f>
        <v>0.651898734177215</v>
      </c>
      <c r="N36" s="3" t="n">
        <f aca="false">IF(Corpus!Q36="None",1,Corpus!J36/Corpus!H36)</f>
        <v>1.24683544303797</v>
      </c>
    </row>
    <row r="37" s="1" customFormat="true" ht="15.75" hidden="false" customHeight="true" outlineLevel="0" collapsed="false">
      <c r="A37" s="1" t="s">
        <v>154</v>
      </c>
      <c r="B37" s="1" t="s">
        <v>154</v>
      </c>
      <c r="C37" s="9" t="n">
        <v>41</v>
      </c>
      <c r="D37" s="3" t="n">
        <v>0.894</v>
      </c>
      <c r="E37" s="3" t="n">
        <v>1.1213</v>
      </c>
      <c r="F37" s="3" t="n">
        <f aca="false">Corpus!E37/(Corpus!E37+Corpus!F37)</f>
        <v>0.880697050938338</v>
      </c>
      <c r="G37" s="3" t="n">
        <f aca="false">Corpus!E37/(Corpus!E37-Corpus!F37)</f>
        <v>1.15669014084507</v>
      </c>
      <c r="H37" s="5" t="n">
        <v>0.293</v>
      </c>
      <c r="I37" s="9" t="n">
        <v>40</v>
      </c>
      <c r="J37" s="5" t="n">
        <v>2.096</v>
      </c>
      <c r="K37" s="3" t="n">
        <v>0.9613</v>
      </c>
      <c r="L37" s="3" t="n">
        <v>1.0726</v>
      </c>
      <c r="M37" s="3" t="n">
        <f aca="false">IF(Corpus!Q37="None",1,Corpus!N37/Corpus!H37)</f>
        <v>0.523809523809524</v>
      </c>
      <c r="N37" s="3" t="n">
        <f aca="false">IF(Corpus!Q37="None",1,Corpus!J37/Corpus!H37)</f>
        <v>1.13333333333333</v>
      </c>
    </row>
    <row r="38" s="1" customFormat="true" ht="15.75" hidden="false" customHeight="true" outlineLevel="0" collapsed="false">
      <c r="A38" s="1" t="s">
        <v>155</v>
      </c>
      <c r="B38" s="1" t="s">
        <v>155</v>
      </c>
      <c r="C38" s="9" t="n">
        <v>41</v>
      </c>
      <c r="D38" s="3" t="n">
        <v>0.9007</v>
      </c>
      <c r="E38" s="3" t="n">
        <v>1.13</v>
      </c>
      <c r="F38" s="3" t="n">
        <f aca="false">Corpus!E38/(Corpus!E38+Corpus!F38)</f>
        <v>0.865026595744681</v>
      </c>
      <c r="G38" s="3" t="n">
        <f aca="false">Corpus!E38/(Corpus!E38-Corpus!F38)</f>
        <v>1.18488160291439</v>
      </c>
      <c r="H38" s="5" t="n">
        <v>0.244</v>
      </c>
      <c r="I38" s="9" t="n">
        <v>39</v>
      </c>
      <c r="J38" s="5" t="n">
        <v>2.58</v>
      </c>
      <c r="K38" s="3" t="n">
        <v>0.9655</v>
      </c>
      <c r="L38" s="3" t="n">
        <v>1.0339</v>
      </c>
      <c r="M38" s="3" t="n">
        <f aca="false">IF(Corpus!Q38="None",1,Corpus!N38/Corpus!H38)</f>
        <v>0.472868217054264</v>
      </c>
      <c r="N38" s="3" t="n">
        <f aca="false">IF(Corpus!Q38="None",1,Corpus!J38/Corpus!H38)</f>
        <v>1.32945736434109</v>
      </c>
    </row>
    <row r="39" s="1" customFormat="true" ht="15.75" hidden="false" customHeight="true" outlineLevel="0" collapsed="false">
      <c r="A39" s="1" t="s">
        <v>156</v>
      </c>
      <c r="B39" s="1" t="s">
        <v>156</v>
      </c>
      <c r="C39" s="9" t="n">
        <v>40</v>
      </c>
      <c r="D39" s="3" t="n">
        <v>0.8934</v>
      </c>
      <c r="E39" s="3" t="n">
        <v>1.1058</v>
      </c>
      <c r="F39" s="3" t="n">
        <f aca="false">Corpus!E39/(Corpus!E39+Corpus!F39)</f>
        <v>0.893864013266998</v>
      </c>
      <c r="G39" s="3" t="n">
        <f aca="false">Corpus!E39/(Corpus!E39-Corpus!F39)</f>
        <v>1.13473684210526</v>
      </c>
      <c r="H39" s="5" t="n">
        <v>0.35</v>
      </c>
      <c r="I39" s="9" t="n">
        <v>40</v>
      </c>
      <c r="J39" s="5" t="n">
        <v>1.437</v>
      </c>
      <c r="K39" s="3" t="n">
        <v>0.9813</v>
      </c>
      <c r="L39" s="3" t="n">
        <v>1.0104</v>
      </c>
      <c r="M39" s="3" t="n">
        <f aca="false">IF(Corpus!Q39="None",1,Corpus!N39/Corpus!H39)</f>
        <v>0.708333333333333</v>
      </c>
      <c r="N39" s="3" t="n">
        <f aca="false">IF(Corpus!Q39="None",1,Corpus!J39/Corpus!H39)</f>
        <v>1.25</v>
      </c>
    </row>
    <row r="40" s="1" customFormat="true" ht="15.75" hidden="false" customHeight="true" outlineLevel="0" collapsed="false">
      <c r="A40" s="1" t="s">
        <v>157</v>
      </c>
      <c r="B40" s="1" t="s">
        <v>157</v>
      </c>
      <c r="C40" s="9" t="n">
        <v>41</v>
      </c>
      <c r="D40" s="3" t="n">
        <v>0.8934</v>
      </c>
      <c r="E40" s="3" t="n">
        <v>1.1204</v>
      </c>
      <c r="F40" s="3" t="n">
        <f aca="false">Corpus!E40/(Corpus!E40+Corpus!F40)</f>
        <v>0.866449511400651</v>
      </c>
      <c r="G40" s="3" t="n">
        <f aca="false">Corpus!E40/(Corpus!E40-Corpus!F40)</f>
        <v>1.18222222222222</v>
      </c>
      <c r="H40" s="5" t="n">
        <v>0.317</v>
      </c>
      <c r="I40" s="9" t="n">
        <v>40</v>
      </c>
      <c r="J40" s="5" t="n">
        <v>1.359</v>
      </c>
      <c r="K40" s="3" t="n">
        <v>0.9875</v>
      </c>
      <c r="L40" s="3" t="n">
        <v>1.0124</v>
      </c>
      <c r="M40" s="3" t="n">
        <f aca="false">IF(Corpus!Q40="None",1,Corpus!N40/Corpus!H40)</f>
        <v>0.742647058823529</v>
      </c>
      <c r="N40" s="3" t="n">
        <f aca="false">IF(Corpus!Q40="None",1,Corpus!J40/Corpus!H40)</f>
        <v>1.19852941176471</v>
      </c>
    </row>
    <row r="41" s="1" customFormat="true" ht="15.75" hidden="false" customHeight="true" outlineLevel="0" collapsed="false">
      <c r="A41" s="1" t="s">
        <v>158</v>
      </c>
      <c r="B41" s="1" t="s">
        <v>158</v>
      </c>
      <c r="C41" s="9" t="n">
        <v>40</v>
      </c>
      <c r="D41" s="3" t="n">
        <v>0.8746</v>
      </c>
      <c r="E41" s="3" t="n">
        <v>1.0989</v>
      </c>
      <c r="F41" s="3" t="n">
        <f aca="false">Corpus!E41/(Corpus!E41+Corpus!F41)</f>
        <v>0.893267651888342</v>
      </c>
      <c r="G41" s="3" t="n">
        <f aca="false">Corpus!E41/(Corpus!E41-Corpus!F41)</f>
        <v>1.1356993736952</v>
      </c>
      <c r="H41" s="5" t="n">
        <v>0.375</v>
      </c>
      <c r="I41" s="9" t="n">
        <v>39</v>
      </c>
      <c r="J41" s="5" t="n">
        <v>1.473</v>
      </c>
      <c r="K41" s="3" t="n">
        <v>0.9826</v>
      </c>
      <c r="L41" s="3" t="n">
        <v>1.0123</v>
      </c>
      <c r="M41" s="3" t="n">
        <f aca="false">IF(Corpus!Q41="None",1,Corpus!N41/Corpus!H41)</f>
        <v>0.693877551020408</v>
      </c>
      <c r="N41" s="3" t="n">
        <f aca="false">IF(Corpus!Q41="None",1,Corpus!J41/Corpus!H41)</f>
        <v>1.19727891156463</v>
      </c>
    </row>
    <row r="42" s="1" customFormat="true" ht="15.75" hidden="false" customHeight="true" outlineLevel="0" collapsed="false">
      <c r="A42" s="1" t="s">
        <v>159</v>
      </c>
      <c r="B42" s="1" t="s">
        <v>159</v>
      </c>
      <c r="C42" s="9" t="n">
        <v>39</v>
      </c>
      <c r="D42" s="3" t="n">
        <v>0.8951</v>
      </c>
      <c r="E42" s="3" t="n">
        <v>1.1205</v>
      </c>
      <c r="F42" s="3" t="n">
        <f aca="false">Corpus!E42/(Corpus!E42+Corpus!F42)</f>
        <v>0.89018302828619</v>
      </c>
      <c r="G42" s="3" t="n">
        <f aca="false">Corpus!E42/(Corpus!E42-Corpus!F42)</f>
        <v>1.1407249466951</v>
      </c>
      <c r="H42" s="5" t="n">
        <v>0.308</v>
      </c>
      <c r="I42" s="9" t="n">
        <v>39</v>
      </c>
      <c r="J42" s="5" t="n">
        <v>1.641</v>
      </c>
      <c r="K42" s="3" t="n">
        <v>0.9852</v>
      </c>
      <c r="L42" s="3" t="n">
        <v>1.0107</v>
      </c>
      <c r="M42" s="3" t="n">
        <f aca="false">IF(Corpus!Q42="None",1,Corpus!N42/Corpus!H42)</f>
        <v>0.646341463414634</v>
      </c>
      <c r="N42" s="3" t="n">
        <f aca="false">IF(Corpus!Q42="None",1,Corpus!J42/Corpus!H42)</f>
        <v>1.24390243902439</v>
      </c>
    </row>
    <row r="43" s="1" customFormat="true" ht="15.75" hidden="false" customHeight="true" outlineLevel="0" collapsed="false">
      <c r="A43" s="1" t="s">
        <v>160</v>
      </c>
      <c r="B43" s="1" t="s">
        <v>160</v>
      </c>
      <c r="C43" s="9" t="n">
        <v>40</v>
      </c>
      <c r="D43" s="3" t="n">
        <v>0.8573</v>
      </c>
      <c r="E43" s="3" t="n">
        <v>1.1036</v>
      </c>
      <c r="F43" s="3" t="n">
        <f aca="false">Corpus!E43/(Corpus!E43+Corpus!F43)</f>
        <v>0.865506329113924</v>
      </c>
      <c r="G43" s="3" t="n">
        <f aca="false">Corpus!E43/(Corpus!E43-Corpus!F43)</f>
        <v>1.18398268398268</v>
      </c>
      <c r="H43" s="5" t="n">
        <v>0.3</v>
      </c>
      <c r="I43" s="9" t="n">
        <v>39</v>
      </c>
      <c r="J43" s="5" t="n">
        <v>1.914</v>
      </c>
      <c r="K43" s="3" t="n">
        <v>0.9749</v>
      </c>
      <c r="L43" s="3" t="n">
        <v>1.0489</v>
      </c>
      <c r="M43" s="3" t="n">
        <f aca="false">IF(Corpus!Q43="None",1,Corpus!N43/Corpus!H43)</f>
        <v>0.602094240837696</v>
      </c>
      <c r="N43" s="3" t="n">
        <f aca="false">IF(Corpus!Q43="None",1,Corpus!J43/Corpus!H43)</f>
        <v>1.1151832460733</v>
      </c>
    </row>
    <row r="44" s="1" customFormat="true" ht="15.75" hidden="false" customHeight="true" outlineLevel="0" collapsed="false">
      <c r="A44" s="1" t="s">
        <v>161</v>
      </c>
      <c r="B44" s="1" t="s">
        <v>160</v>
      </c>
      <c r="C44" s="9" t="n">
        <v>40</v>
      </c>
      <c r="D44" s="3" t="n">
        <v>0.8573</v>
      </c>
      <c r="E44" s="3" t="n">
        <v>1.1072</v>
      </c>
      <c r="F44" s="3" t="n">
        <f aca="false">Corpus!E44/(Corpus!E44+Corpus!F44)</f>
        <v>0.865506329113924</v>
      </c>
      <c r="G44" s="3" t="n">
        <f aca="false">Corpus!E44/(Corpus!E44-Corpus!F44)</f>
        <v>1.18398268398268</v>
      </c>
      <c r="H44" s="5" t="n">
        <v>0.3</v>
      </c>
      <c r="I44" s="9" t="n">
        <v>39</v>
      </c>
      <c r="J44" s="5" t="n">
        <v>1.914</v>
      </c>
      <c r="K44" s="3" t="n">
        <v>0.9749</v>
      </c>
      <c r="L44" s="3" t="n">
        <v>1.0489</v>
      </c>
      <c r="M44" s="3" t="n">
        <f aca="false">IF(Corpus!Q44="None",1,Corpus!N44/Corpus!H44)</f>
        <v>0.602094240837696</v>
      </c>
      <c r="N44" s="3" t="n">
        <f aca="false">IF(Corpus!Q44="None",1,Corpus!J44/Corpus!H44)</f>
        <v>1.1151832460733</v>
      </c>
    </row>
    <row r="45" s="1" customFormat="true" ht="15.75" hidden="false" customHeight="true" outlineLevel="0" collapsed="false">
      <c r="A45" s="1" t="s">
        <v>163</v>
      </c>
      <c r="B45" s="1" t="s">
        <v>163</v>
      </c>
      <c r="C45" s="9" t="n">
        <v>40</v>
      </c>
      <c r="D45" s="3" t="n">
        <v>0.8911</v>
      </c>
      <c r="E45" s="3" t="n">
        <v>1.1174</v>
      </c>
      <c r="F45" s="3" t="n">
        <f aca="false">Corpus!E45/(Corpus!E45+Corpus!F45)</f>
        <v>0.888157894736842</v>
      </c>
      <c r="G45" s="3" t="n">
        <f aca="false">Corpus!E45/(Corpus!E45-Corpus!F45)</f>
        <v>1.14406779661017</v>
      </c>
      <c r="H45" s="5" t="n">
        <v>0.3</v>
      </c>
      <c r="I45" s="9" t="n">
        <v>40</v>
      </c>
      <c r="J45" s="5" t="n">
        <v>1.382</v>
      </c>
      <c r="K45" s="3" t="n">
        <v>0.9898</v>
      </c>
      <c r="L45" s="3" t="n">
        <v>1.0321</v>
      </c>
      <c r="M45" s="3" t="n">
        <f aca="false">IF(Corpus!Q45="None",1,Corpus!N45/Corpus!H45)</f>
        <v>0.731884057971015</v>
      </c>
      <c r="N45" s="3" t="n">
        <f aca="false">IF(Corpus!Q45="None",1,Corpus!J45/Corpus!H45)</f>
        <v>1.15942028985507</v>
      </c>
    </row>
    <row r="46" s="1" customFormat="true" ht="15.75" hidden="false" customHeight="true" outlineLevel="0" collapsed="false">
      <c r="A46" s="1" t="s">
        <v>164</v>
      </c>
      <c r="B46" s="1" t="s">
        <v>164</v>
      </c>
      <c r="C46" s="9" t="n">
        <v>39</v>
      </c>
      <c r="D46" s="3" t="n">
        <v>0.9007</v>
      </c>
      <c r="E46" s="3" t="n">
        <v>1.1049</v>
      </c>
      <c r="F46" s="3" t="n">
        <f aca="false">Corpus!E46/(Corpus!E46+Corpus!F46)</f>
        <v>0.905642023346304</v>
      </c>
      <c r="G46" s="3" t="n">
        <f aca="false">Corpus!E46/(Corpus!E46-Corpus!F46)</f>
        <v>1.11630695443645</v>
      </c>
      <c r="H46" s="5" t="n">
        <v>0.333</v>
      </c>
      <c r="I46" s="9" t="n">
        <v>40</v>
      </c>
      <c r="J46" s="5" t="n">
        <v>1.358</v>
      </c>
      <c r="K46" s="3" t="n">
        <v>0.984</v>
      </c>
      <c r="L46" s="3" t="n">
        <v>1.0103</v>
      </c>
      <c r="M46" s="3" t="n">
        <f aca="false">IF(Corpus!Q46="None",1,Corpus!N46/Corpus!H46)</f>
        <v>0.742647058823529</v>
      </c>
      <c r="N46" s="3" t="n">
        <f aca="false">IF(Corpus!Q46="None",1,Corpus!J46/Corpus!H46)</f>
        <v>1.13235294117647</v>
      </c>
    </row>
    <row r="47" s="1" customFormat="true" ht="15.75" hidden="false" customHeight="true" outlineLevel="0" collapsed="false">
      <c r="A47" s="1" t="s">
        <v>165</v>
      </c>
      <c r="B47" s="1" t="s">
        <v>165</v>
      </c>
      <c r="C47" s="9" t="n">
        <v>40</v>
      </c>
      <c r="D47" s="3" t="n">
        <v>0.8988</v>
      </c>
      <c r="E47" s="3" t="n">
        <v>1.1045</v>
      </c>
      <c r="F47" s="3" t="n">
        <f aca="false">Corpus!E47/(Corpus!E47+Corpus!F47)</f>
        <v>0.91130604288499</v>
      </c>
      <c r="G47" s="3" t="n">
        <f aca="false">Corpus!E47/(Corpus!E47-Corpus!F47)</f>
        <v>1.10781990521327</v>
      </c>
      <c r="H47" s="5" t="n">
        <v>0.3</v>
      </c>
      <c r="I47" s="9" t="n">
        <v>41</v>
      </c>
      <c r="J47" s="5" t="n">
        <v>1.366</v>
      </c>
      <c r="K47" s="3" t="n">
        <v>0.9814</v>
      </c>
      <c r="L47" s="3" t="n">
        <v>1.0095</v>
      </c>
      <c r="M47" s="3" t="n">
        <f aca="false">IF(Corpus!Q47="None",1,Corpus!N47/Corpus!H47)</f>
        <v>0.737226277372263</v>
      </c>
      <c r="N47" s="3" t="n">
        <f aca="false">IF(Corpus!Q47="None",1,Corpus!J47/Corpus!H47)</f>
        <v>1.18978102189781</v>
      </c>
    </row>
    <row r="48" s="1" customFormat="true" ht="15.75" hidden="false" customHeight="true" outlineLevel="0" collapsed="false">
      <c r="A48" s="1" t="s">
        <v>166</v>
      </c>
      <c r="B48" s="1" t="s">
        <v>166</v>
      </c>
      <c r="C48" s="9" t="n">
        <v>40</v>
      </c>
      <c r="D48" s="3" t="n">
        <v>0.9007</v>
      </c>
      <c r="E48" s="3" t="n">
        <v>1.128</v>
      </c>
      <c r="F48" s="3" t="n">
        <f aca="false">Corpus!E48/(Corpus!E48+Corpus!F48)</f>
        <v>0.906460945033751</v>
      </c>
      <c r="G48" s="3" t="n">
        <f aca="false">Corpus!E48/(Corpus!E48-Corpus!F48)</f>
        <v>1.11506524317912</v>
      </c>
      <c r="H48" s="5" t="n">
        <v>0.35</v>
      </c>
      <c r="I48" s="9" t="n">
        <v>39</v>
      </c>
      <c r="J48" s="5" t="n">
        <v>1.445</v>
      </c>
      <c r="K48" s="3" t="n">
        <v>0.9921</v>
      </c>
      <c r="L48" s="3" t="n">
        <v>1.011</v>
      </c>
      <c r="M48" s="3" t="n">
        <f aca="false">IF(Corpus!Q48="None",1,Corpus!N48/Corpus!H48)</f>
        <v>0.703448275862069</v>
      </c>
      <c r="N48" s="3" t="n">
        <f aca="false">IF(Corpus!Q48="None",1,Corpus!J48/Corpus!H48)</f>
        <v>1.1448275862069</v>
      </c>
    </row>
    <row r="49" s="1" customFormat="true" ht="15.75" hidden="false" customHeight="true" outlineLevel="0" collapsed="false">
      <c r="A49" s="1" t="s">
        <v>167</v>
      </c>
      <c r="B49" s="1" t="s">
        <v>167</v>
      </c>
      <c r="C49" s="9" t="n">
        <v>40</v>
      </c>
      <c r="D49" s="3" t="n">
        <v>0.8917</v>
      </c>
      <c r="E49" s="3" t="n">
        <v>1.1072</v>
      </c>
      <c r="F49" s="3" t="n">
        <f aca="false">Corpus!E49/(Corpus!E49+Corpus!F49)</f>
        <v>0.918525703200776</v>
      </c>
      <c r="G49" s="3" t="n">
        <f aca="false">Corpus!E49/(Corpus!E49-Corpus!F49)</f>
        <v>1.0973348783314</v>
      </c>
      <c r="H49" s="5" t="n">
        <v>0.35</v>
      </c>
      <c r="I49" s="9" t="n">
        <v>39</v>
      </c>
      <c r="J49" s="5" t="n">
        <v>1.684</v>
      </c>
      <c r="K49" s="3" t="n">
        <v>0.9746</v>
      </c>
      <c r="L49" s="3" t="n">
        <v>1.0229</v>
      </c>
      <c r="M49" s="3" t="n">
        <f aca="false">IF(Corpus!Q49="None",1,Corpus!N49/Corpus!H49)</f>
        <v>0.642857142857143</v>
      </c>
      <c r="N49" s="3" t="n">
        <f aca="false">IF(Corpus!Q49="None",1,Corpus!J49/Corpus!H49)</f>
        <v>1.1547619047619</v>
      </c>
    </row>
    <row r="50" s="1" customFormat="true" ht="15.75" hidden="false" customHeight="true" outlineLevel="0" collapsed="false"/>
    <row r="51" s="1" customFormat="true" ht="15.75" hidden="false" customHeight="true" outlineLevel="0" collapsed="false">
      <c r="A51" s="1" t="s">
        <v>253</v>
      </c>
      <c r="H51" s="5" t="n">
        <f aca="false">AVERAGE(H3:H49)</f>
        <v>0.305872340425532</v>
      </c>
    </row>
    <row r="52" s="1" customFormat="true" ht="15.75" hidden="false" customHeight="true" outlineLevel="0" collapsed="false">
      <c r="A52" s="1"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3" min="1" style="1" width="19"/>
  </cols>
  <sheetData>
    <row r="1" s="1" customFormat="true" ht="15" hidden="false" customHeight="true" outlineLevel="0" collapsed="false">
      <c r="A1" s="11" t="s">
        <v>255</v>
      </c>
      <c r="B1" s="11"/>
      <c r="C1" s="11"/>
      <c r="D1" s="11"/>
      <c r="E1" s="11"/>
      <c r="F1" s="11"/>
      <c r="G1" s="11"/>
      <c r="H1" s="11"/>
      <c r="I1" s="11"/>
      <c r="J1" s="11"/>
      <c r="K1" s="11"/>
      <c r="L1" s="11"/>
      <c r="M1" s="11"/>
    </row>
    <row r="2" s="1" customFormat="true" ht="15" hidden="false" customHeight="true" outlineLevel="0" collapsed="false">
      <c r="A2" s="12" t="s">
        <v>169</v>
      </c>
      <c r="B2" s="12" t="s">
        <v>256</v>
      </c>
      <c r="C2" s="12" t="s">
        <v>257</v>
      </c>
      <c r="D2" s="12" t="s">
        <v>258</v>
      </c>
      <c r="E2" s="12" t="s">
        <v>259</v>
      </c>
      <c r="F2" s="12" t="s">
        <v>260</v>
      </c>
      <c r="G2" s="12" t="s">
        <v>261</v>
      </c>
      <c r="H2" s="12" t="s">
        <v>262</v>
      </c>
      <c r="I2" s="12" t="s">
        <v>263</v>
      </c>
      <c r="J2" s="12" t="s">
        <v>264</v>
      </c>
      <c r="K2" s="12" t="s">
        <v>265</v>
      </c>
      <c r="L2" s="12" t="s">
        <v>266</v>
      </c>
      <c r="M2" s="11"/>
      <c r="N2" s="1" t="s">
        <v>267</v>
      </c>
      <c r="O2" s="1" t="s">
        <v>268</v>
      </c>
      <c r="P2" s="1" t="s">
        <v>269</v>
      </c>
      <c r="Q2" s="1" t="s">
        <v>270</v>
      </c>
      <c r="R2" s="1" t="s">
        <v>271</v>
      </c>
    </row>
    <row r="3" s="1" customFormat="true" ht="15" hidden="false" customHeight="true" outlineLevel="0" collapsed="false">
      <c r="A3" s="11" t="str">
        <f aca="false">Levers!A3</f>
        <v>gpt-4o-mini</v>
      </c>
      <c r="B3" s="11" t="n">
        <f aca="false">Levers!H3</f>
        <v>4.03997840349841</v>
      </c>
      <c r="C3" s="11" t="n">
        <f aca="false">EXP(Levers!$G3-Levers!B3)</f>
        <v>1.44765892792026</v>
      </c>
      <c r="D3" s="11" t="n">
        <f aca="false">EXP(Levers!$G3-Levers!C3)</f>
        <v>4.03997840349841</v>
      </c>
      <c r="E3" s="11" t="n">
        <f aca="false">EXP(Levers!$G3-Levers!D3)</f>
        <v>3.7261936731296</v>
      </c>
      <c r="F3" s="11" t="n">
        <f aca="false">EXP(Levers!$G3-Levers!E3)</f>
        <v>3.02570379436965</v>
      </c>
      <c r="G3" s="11" t="n">
        <f aca="false">EXP(Levers!$G3-Levers!F3)</f>
        <v>4.03997840349841</v>
      </c>
      <c r="H3" s="11" t="n">
        <f aca="false">B3/C3</f>
        <v>2.79069767441861</v>
      </c>
      <c r="I3" s="11" t="n">
        <f aca="false">B3/D3</f>
        <v>1</v>
      </c>
      <c r="J3" s="11" t="n">
        <f aca="false">B3/E3</f>
        <v>1.08421052631579</v>
      </c>
      <c r="K3" s="11" t="n">
        <f aca="false">B3/F3</f>
        <v>1.33521939953811</v>
      </c>
      <c r="L3" s="11" t="n">
        <f aca="false">B3/G3</f>
        <v>1</v>
      </c>
      <c r="M3" s="11"/>
      <c r="N3" s="9" t="n">
        <f aca="false" t="array" ref="N3:N3">IF(AND(A3&lt;&gt;"gpt-4o-mini",INDEX(Corpus!$Q$3:$Q$60,MATCH(A3,Corpus!$A$3:$A$60,0))&lt;&gt;"None"),1,0)</f>
        <v>0</v>
      </c>
      <c r="O3" s="5" t="n">
        <f aca="false">EXP(Levers!$G3-Levers!$B3-Levers!$C3)</f>
        <v>1.44765892792026</v>
      </c>
      <c r="P3" s="5" t="n">
        <f aca="false">EXP(Levers!$G3-Levers!$B3-Levers!$C3-Levers!$E3)</f>
        <v>1.08421052631579</v>
      </c>
      <c r="Q3" s="5" t="n">
        <f aca="false">EXP(Levers!$G3-Levers!$B3-Levers!$C3-Levers!$E3-Levers!$F3)</f>
        <v>1.08421052631579</v>
      </c>
      <c r="R3" s="5" t="n">
        <f aca="false">EXP(Levers!$G3-Levers!$B3-Levers!$C3-Levers!$E3-Levers!$F3-Levers!$D3)</f>
        <v>1</v>
      </c>
    </row>
    <row r="4" s="1" customFormat="true" ht="15" hidden="false" customHeight="true" outlineLevel="0" collapsed="false">
      <c r="A4" s="11" t="str">
        <f aca="false">Levers!A4</f>
        <v>gpt-5 (non-reasoning)</v>
      </c>
      <c r="B4" s="11" t="n">
        <f aca="false">Levers!H4</f>
        <v>10.722692855447</v>
      </c>
      <c r="C4" s="11" t="n">
        <f aca="false">EXP(Levers!$G4-Levers!B4)</f>
        <v>3.84229827320183</v>
      </c>
      <c r="D4" s="11" t="n">
        <f aca="false">EXP(Levers!$G4-Levers!C4)</f>
        <v>3.83988325228844</v>
      </c>
      <c r="E4" s="11" t="n">
        <f aca="false">EXP(Levers!$G4-Levers!D4)</f>
        <v>9.88986234240254</v>
      </c>
      <c r="F4" s="11" t="n">
        <f aca="false">EXP(Levers!$G4-Levers!E4)</f>
        <v>8.44913512390014</v>
      </c>
      <c r="G4" s="11" t="n">
        <f aca="false">EXP(Levers!$G4-Levers!F4)</f>
        <v>10.722692855447</v>
      </c>
      <c r="H4" s="11" t="n">
        <f aca="false">B4/C4</f>
        <v>2.7906976744186</v>
      </c>
      <c r="I4" s="11" t="n">
        <f aca="false">B4/D4</f>
        <v>2.79245283018868</v>
      </c>
      <c r="J4" s="11" t="n">
        <f aca="false">B4/E4</f>
        <v>1.08421052631579</v>
      </c>
      <c r="K4" s="11" t="n">
        <f aca="false">B4/F4</f>
        <v>1.26908762828465</v>
      </c>
      <c r="L4" s="11" t="n">
        <f aca="false">B4/G4</f>
        <v>1</v>
      </c>
      <c r="M4" s="11"/>
      <c r="N4" s="9" t="n">
        <f aca="false" t="array" ref="N4:N4">IF(AND(A4&lt;&gt;"gpt-4o-mini",INDEX(Corpus!$Q$3:$Q$60,MATCH(A4,Corpus!$A$3:$A$60,0))&lt;&gt;"None"),1,0)</f>
        <v>0</v>
      </c>
      <c r="O4" s="5" t="n">
        <f aca="false">EXP(Levers!$G4-Levers!$B4-Levers!$C4)</f>
        <v>1.37595816540336</v>
      </c>
      <c r="P4" s="5" t="n">
        <f aca="false">EXP(Levers!$G4-Levers!$B4-Levers!$C4-Levers!$E4)</f>
        <v>1.08421052631579</v>
      </c>
      <c r="Q4" s="5" t="n">
        <f aca="false">EXP(Levers!$G4-Levers!$B4-Levers!$C4-Levers!$E4-Levers!$F4)</f>
        <v>1.08421052631579</v>
      </c>
      <c r="R4" s="5" t="n">
        <f aca="false">EXP(Levers!$G4-Levers!$B4-Levers!$C4-Levers!$E4-Levers!$F4-Levers!$D4)</f>
        <v>1</v>
      </c>
    </row>
    <row r="5" s="1" customFormat="true" ht="15" hidden="false" customHeight="true" outlineLevel="0" collapsed="false">
      <c r="A5" s="11" t="str">
        <f aca="false">Levers!A5</f>
        <v>gpt-5 (low)</v>
      </c>
      <c r="B5" s="11" t="n">
        <f aca="false">Levers!H5</f>
        <v>11.4583048828245</v>
      </c>
      <c r="C5" s="11" t="n">
        <f aca="false">EXP(Levers!$G5-Levers!B5)</f>
        <v>4.10589258301212</v>
      </c>
      <c r="D5" s="11" t="n">
        <f aca="false">EXP(Levers!$G5-Levers!C5)</f>
        <v>4.10331188371419</v>
      </c>
      <c r="E5" s="11" t="n">
        <f aca="false">EXP(Levers!$G5-Levers!D5)</f>
        <v>10.5683394550323</v>
      </c>
      <c r="F5" s="11" t="n">
        <f aca="false">EXP(Levers!$G5-Levers!E5)</f>
        <v>8.99735150057685</v>
      </c>
      <c r="G5" s="11" t="n">
        <f aca="false">EXP(Levers!$G5-Levers!F5)</f>
        <v>10.7601404968587</v>
      </c>
      <c r="H5" s="11" t="n">
        <f aca="false">B5/C5</f>
        <v>2.79069767441861</v>
      </c>
      <c r="I5" s="11" t="n">
        <f aca="false">B5/D5</f>
        <v>2.79245283018868</v>
      </c>
      <c r="J5" s="11" t="n">
        <f aca="false">B5/E5</f>
        <v>1.08421052631579</v>
      </c>
      <c r="K5" s="11" t="n">
        <f aca="false">B5/F5</f>
        <v>1.27351975546247</v>
      </c>
      <c r="L5" s="11" t="n">
        <f aca="false">B5/G5</f>
        <v>1.06488431876607</v>
      </c>
      <c r="M5" s="11"/>
      <c r="N5" s="9" t="n">
        <f aca="false" t="array" ref="N5:N5">IF(AND(A5&lt;&gt;"gpt-4o-mini",INDEX(Corpus!$Q$3:$Q$60,MATCH(A5,Corpus!$A$3:$A$60,0))&lt;&gt;"None"),1,0)</f>
        <v>1</v>
      </c>
      <c r="O5" s="5" t="n">
        <f aca="false">EXP(Levers!$G5-Levers!$B5-Levers!$C5)</f>
        <v>1.47035342499758</v>
      </c>
      <c r="P5" s="5" t="n">
        <f aca="false">EXP(Levers!$G5-Levers!$B5-Levers!$C5-Levers!$E5)</f>
        <v>1.15455878771479</v>
      </c>
      <c r="Q5" s="5" t="n">
        <f aca="false">EXP(Levers!$G5-Levers!$B5-Levers!$C5-Levers!$E5-Levers!$F5)</f>
        <v>1.08421052631579</v>
      </c>
      <c r="R5" s="5" t="n">
        <f aca="false">EXP(Levers!$G5-Levers!$B5-Levers!$C5-Levers!$E5-Levers!$F5-Levers!$D5)</f>
        <v>1</v>
      </c>
    </row>
    <row r="6" s="1" customFormat="true" ht="15" hidden="false" customHeight="true" outlineLevel="0" collapsed="false">
      <c r="A6" s="11" t="str">
        <f aca="false">Levers!A6</f>
        <v>gpt-5 (medium)</v>
      </c>
      <c r="B6" s="11" t="n">
        <f aca="false">Levers!H6</f>
        <v>12.6437057548337</v>
      </c>
      <c r="C6" s="11" t="n">
        <f aca="false">EXP(Levers!$G6-Levers!B6)</f>
        <v>4.53066122881541</v>
      </c>
      <c r="D6" s="11" t="n">
        <f aca="false">EXP(Levers!$G6-Levers!C6)</f>
        <v>4.5278135473391</v>
      </c>
      <c r="E6" s="11" t="n">
        <f aca="false">EXP(Levers!$G6-Levers!D6)</f>
        <v>11.6616703564</v>
      </c>
      <c r="F6" s="11" t="n">
        <f aca="false">EXP(Levers!$G6-Levers!E6)</f>
        <v>9.95807925588682</v>
      </c>
      <c r="G6" s="11" t="n">
        <f aca="false">EXP(Levers!$G6-Levers!F6)</f>
        <v>10.7278096151194</v>
      </c>
      <c r="H6" s="11" t="n">
        <f aca="false">B6/C6</f>
        <v>2.79069767441861</v>
      </c>
      <c r="I6" s="11" t="n">
        <f aca="false">B6/D6</f>
        <v>2.79245283018868</v>
      </c>
      <c r="J6" s="11" t="n">
        <f aca="false">B6/E6</f>
        <v>1.08421052631579</v>
      </c>
      <c r="K6" s="11" t="n">
        <f aca="false">B6/F6</f>
        <v>1.26969322395775</v>
      </c>
      <c r="L6" s="11" t="n">
        <f aca="false">B6/G6</f>
        <v>1.17859154929577</v>
      </c>
      <c r="M6" s="11"/>
      <c r="N6" s="9" t="n">
        <f aca="false" t="array" ref="N6:N6">IF(AND(A6&lt;&gt;"gpt-4o-mini",INDEX(Corpus!$Q$3:$Q$60,MATCH(A6,Corpus!$A$3:$A$60,0))&lt;&gt;"None"),1,0)</f>
        <v>1</v>
      </c>
      <c r="O6" s="5" t="n">
        <f aca="false">EXP(Levers!$G6-Levers!$B6-Levers!$C6)</f>
        <v>1.62246652112984</v>
      </c>
      <c r="P6" s="5" t="n">
        <f aca="false">EXP(Levers!$G6-Levers!$B6-Levers!$C6-Levers!$E6)</f>
        <v>1.27784136397331</v>
      </c>
      <c r="Q6" s="5" t="n">
        <f aca="false">EXP(Levers!$G6-Levers!$B6-Levers!$C6-Levers!$E6-Levers!$F6)</f>
        <v>1.08421052631579</v>
      </c>
      <c r="R6" s="5" t="n">
        <f aca="false">EXP(Levers!$G6-Levers!$B6-Levers!$C6-Levers!$E6-Levers!$F6-Levers!$D6)</f>
        <v>1</v>
      </c>
    </row>
    <row r="7" s="1" customFormat="true" ht="15" hidden="false" customHeight="true" outlineLevel="0" collapsed="false">
      <c r="A7" s="11" t="str">
        <f aca="false">Levers!A7</f>
        <v>gpt-5 (high)</v>
      </c>
      <c r="B7" s="11" t="n">
        <f aca="false">Levers!H7</f>
        <v>11.8695843351047</v>
      </c>
      <c r="C7" s="11" t="n">
        <f aca="false">EXP(Levers!$G7-Levers!B7)</f>
        <v>4.2532677200792</v>
      </c>
      <c r="D7" s="11" t="n">
        <f aca="false">EXP(Levers!$G7-Levers!C7)</f>
        <v>4.25059439027399</v>
      </c>
      <c r="E7" s="11" t="n">
        <f aca="false">EXP(Levers!$G7-Levers!D7)</f>
        <v>10.947674872184</v>
      </c>
      <c r="F7" s="11" t="n">
        <f aca="false">EXP(Levers!$G7-Levers!E7)</f>
        <v>9.41132369794681</v>
      </c>
      <c r="G7" s="11" t="n">
        <f aca="false">EXP(Levers!$G7-Levers!F7)</f>
        <v>10.6560697655854</v>
      </c>
      <c r="H7" s="11" t="n">
        <f aca="false">B7/C7</f>
        <v>2.7906976744186</v>
      </c>
      <c r="I7" s="11" t="n">
        <f aca="false">B7/D7</f>
        <v>2.79245283018868</v>
      </c>
      <c r="J7" s="11" t="n">
        <f aca="false">B7/E7</f>
        <v>1.08421052631579</v>
      </c>
      <c r="K7" s="11" t="n">
        <f aca="false">B7/F7</f>
        <v>1.26120243188471</v>
      </c>
      <c r="L7" s="11" t="n">
        <f aca="false">B7/G7</f>
        <v>1.11388012618297</v>
      </c>
      <c r="M7" s="11"/>
      <c r="N7" s="9" t="n">
        <f aca="false" t="array" ref="N7:N7">IF(AND(A7&lt;&gt;"gpt-4o-mini",INDEX(Corpus!$Q$3:$Q$60,MATCH(A7,Corpus!$A$3:$A$60,0))&lt;&gt;"None"),1,0)</f>
        <v>1</v>
      </c>
      <c r="O7" s="5" t="n">
        <f aca="false">EXP(Levers!$G7-Levers!$B7-Levers!$C7)</f>
        <v>1.52312965651485</v>
      </c>
      <c r="P7" s="5" t="n">
        <f aca="false">EXP(Levers!$G7-Levers!$B7-Levers!$C7-Levers!$E7)</f>
        <v>1.20768055786153</v>
      </c>
      <c r="Q7" s="5" t="n">
        <f aca="false">EXP(Levers!$G7-Levers!$B7-Levers!$C7-Levers!$E7-Levers!$F7)</f>
        <v>1.08421052631579</v>
      </c>
      <c r="R7" s="5" t="n">
        <f aca="false">EXP(Levers!$G7-Levers!$B7-Levers!$C7-Levers!$E7-Levers!$F7-Levers!$D7)</f>
        <v>1</v>
      </c>
    </row>
    <row r="8" s="1" customFormat="true" ht="15" hidden="false" customHeight="true" outlineLevel="0" collapsed="false">
      <c r="A8" s="11" t="str">
        <f aca="false">Levers!A8</f>
        <v>gpt-5 (xhigh)</v>
      </c>
      <c r="B8" s="11" t="n">
        <f aca="false">Levers!H8</f>
        <v>12.2405736208923</v>
      </c>
      <c r="C8" s="11" t="n">
        <f aca="false">EXP(Levers!$G8-Levers!B8)</f>
        <v>4.3862055474864</v>
      </c>
      <c r="D8" s="11" t="n">
        <f aca="false">EXP(Levers!$G8-Levers!C8)</f>
        <v>4.38344866153575</v>
      </c>
      <c r="E8" s="11" t="n">
        <f aca="false">EXP(Levers!$G8-Levers!D8)</f>
        <v>11.2898494561628</v>
      </c>
      <c r="F8" s="11" t="n">
        <f aca="false">EXP(Levers!$G8-Levers!E8)</f>
        <v>9.66869954256894</v>
      </c>
      <c r="G8" s="11" t="n">
        <f aca="false">EXP(Levers!$G8-Levers!F8)</f>
        <v>10.6966050668576</v>
      </c>
      <c r="H8" s="11" t="n">
        <f aca="false">B8/C8</f>
        <v>2.79069767441861</v>
      </c>
      <c r="I8" s="11" t="n">
        <f aca="false">B8/D8</f>
        <v>2.79245283018868</v>
      </c>
      <c r="J8" s="11" t="n">
        <f aca="false">B8/E8</f>
        <v>1.08421052631579</v>
      </c>
      <c r="K8" s="11" t="n">
        <f aca="false">B8/F8</f>
        <v>1.266</v>
      </c>
      <c r="L8" s="11" t="n">
        <f aca="false">B8/G8</f>
        <v>1.14434192385195</v>
      </c>
      <c r="M8" s="11"/>
      <c r="N8" s="9" t="n">
        <f aca="false" t="array" ref="N8:N8">IF(AND(A8&lt;&gt;"gpt-4o-mini",INDEX(Corpus!$Q$3:$Q$60,MATCH(A8,Corpus!$A$3:$A$60,0))&lt;&gt;"None"),1,0)</f>
        <v>1</v>
      </c>
      <c r="O8" s="5" t="n">
        <f aca="false">EXP(Levers!$G8-Levers!$B8-Levers!$C8)</f>
        <v>1.57073577038364</v>
      </c>
      <c r="P8" s="5" t="n">
        <f aca="false">EXP(Levers!$G8-Levers!$B8-Levers!$C8-Levers!$E8)</f>
        <v>1.24070755954474</v>
      </c>
      <c r="Q8" s="5" t="n">
        <f aca="false">EXP(Levers!$G8-Levers!$B8-Levers!$C8-Levers!$E8-Levers!$F8)</f>
        <v>1.08421052631579</v>
      </c>
      <c r="R8" s="5" t="n">
        <f aca="false">EXP(Levers!$G8-Levers!$B8-Levers!$C8-Levers!$E8-Levers!$F8-Levers!$D8)</f>
        <v>1</v>
      </c>
    </row>
    <row r="9" s="1" customFormat="true" ht="15" hidden="false" customHeight="true" outlineLevel="0" collapsed="false">
      <c r="A9" s="11" t="str">
        <f aca="false">Levers!A9</f>
        <v>gpt-5.2 (non-reasoning)</v>
      </c>
      <c r="B9" s="11" t="n">
        <f aca="false">Levers!H9</f>
        <v>10.4829226736522</v>
      </c>
      <c r="C9" s="11" t="n">
        <f aca="false">EXP(Levers!$G9-Levers!B9)</f>
        <v>3.75638062472538</v>
      </c>
      <c r="D9" s="11" t="n">
        <f aca="false">EXP(Levers!$G9-Levers!C9)</f>
        <v>3.75401960610519</v>
      </c>
      <c r="E9" s="11" t="n">
        <f aca="false">EXP(Levers!$G9-Levers!D9)</f>
        <v>9.66871508734915</v>
      </c>
      <c r="F9" s="11" t="n">
        <f aca="false">EXP(Levers!$G9-Levers!E9)</f>
        <v>8.44913512390014</v>
      </c>
      <c r="G9" s="11" t="n">
        <f aca="false">EXP(Levers!$G9-Levers!F9)</f>
        <v>10.4829226736522</v>
      </c>
      <c r="H9" s="11" t="n">
        <f aca="false">B9/C9</f>
        <v>2.7906976744186</v>
      </c>
      <c r="I9" s="11" t="n">
        <f aca="false">B9/D9</f>
        <v>2.79245283018868</v>
      </c>
      <c r="J9" s="11" t="n">
        <f aca="false">B9/E9</f>
        <v>1.08421052631579</v>
      </c>
      <c r="K9" s="11" t="n">
        <f aca="false">B9/F9</f>
        <v>1.24070955428315</v>
      </c>
      <c r="L9" s="11" t="n">
        <f aca="false">B9/G9</f>
        <v>1</v>
      </c>
      <c r="M9" s="11"/>
      <c r="N9" s="9" t="n">
        <f aca="false" t="array" ref="N9:N9">IF(AND(A9&lt;&gt;"gpt-4o-mini",INDEX(Corpus!$Q$3:$Q$60,MATCH(A9,Corpus!$A$3:$A$60,0))&lt;&gt;"None"),1,0)</f>
        <v>0</v>
      </c>
      <c r="O9" s="5" t="n">
        <f aca="false">EXP(Levers!$G9-Levers!$B9-Levers!$C9)</f>
        <v>1.34519035885436</v>
      </c>
      <c r="P9" s="5" t="n">
        <f aca="false">EXP(Levers!$G9-Levers!$B9-Levers!$C9-Levers!$E9)</f>
        <v>1.08421052631579</v>
      </c>
      <c r="Q9" s="5" t="n">
        <f aca="false">EXP(Levers!$G9-Levers!$B9-Levers!$C9-Levers!$E9-Levers!$F9)</f>
        <v>1.08421052631579</v>
      </c>
      <c r="R9" s="5" t="n">
        <f aca="false">EXP(Levers!$G9-Levers!$B9-Levers!$C9-Levers!$E9-Levers!$F9-Levers!$D9)</f>
        <v>1</v>
      </c>
    </row>
    <row r="10" s="1" customFormat="true" ht="15" hidden="false" customHeight="true" outlineLevel="0" collapsed="false">
      <c r="A10" s="11" t="str">
        <f aca="false">Levers!A10</f>
        <v>gpt-5.2 (low)</v>
      </c>
      <c r="B10" s="11" t="n">
        <f aca="false">Levers!H10</f>
        <v>11.0843005102309</v>
      </c>
      <c r="C10" s="11" t="n">
        <f aca="false">EXP(Levers!$G10-Levers!B10)</f>
        <v>3.97187434949939</v>
      </c>
      <c r="D10" s="11" t="n">
        <f aca="false">EXP(Levers!$G10-Levers!C10)</f>
        <v>3.96937788542051</v>
      </c>
      <c r="E10" s="11" t="n">
        <f aca="false">EXP(Levers!$G10-Levers!D10)</f>
        <v>10.2233839657469</v>
      </c>
      <c r="F10" s="11" t="n">
        <f aca="false">EXP(Levers!$G10-Levers!E10)</f>
        <v>8.91483548505999</v>
      </c>
      <c r="G10" s="11" t="n">
        <f aca="false">EXP(Levers!$G10-Levers!F10)</f>
        <v>10.5052698865621</v>
      </c>
      <c r="H10" s="11" t="n">
        <f aca="false">B10/C10</f>
        <v>2.7906976744186</v>
      </c>
      <c r="I10" s="11" t="n">
        <f aca="false">B10/D10</f>
        <v>2.79245283018868</v>
      </c>
      <c r="J10" s="11" t="n">
        <f aca="false">B10/E10</f>
        <v>1.08421052631579</v>
      </c>
      <c r="K10" s="11" t="n">
        <f aca="false">B10/F10</f>
        <v>1.24335446557669</v>
      </c>
      <c r="L10" s="11" t="n">
        <f aca="false">B10/G10</f>
        <v>1.05511811023622</v>
      </c>
      <c r="M10" s="11"/>
      <c r="N10" s="9" t="n">
        <f aca="false" t="array" ref="N10:N10">IF(AND(A10&lt;&gt;"gpt-4o-mini",INDEX(Corpus!$Q$3:$Q$60,MATCH(A10,Corpus!$A$3:$A$60,0))&lt;&gt;"None"),1,0)</f>
        <v>1</v>
      </c>
      <c r="O10" s="5" t="n">
        <f aca="false">EXP(Levers!$G10-Levers!$B10-Levers!$C10)</f>
        <v>1.42236040894235</v>
      </c>
      <c r="P10" s="5" t="n">
        <f aca="false">EXP(Levers!$G10-Levers!$B10-Levers!$C10-Levers!$E10)</f>
        <v>1.14397016162453</v>
      </c>
      <c r="Q10" s="5" t="n">
        <f aca="false">EXP(Levers!$G10-Levers!$B10-Levers!$C10-Levers!$E10-Levers!$F10)</f>
        <v>1.08421052631579</v>
      </c>
      <c r="R10" s="5" t="n">
        <f aca="false">EXP(Levers!$G10-Levers!$B10-Levers!$C10-Levers!$E10-Levers!$F10-Levers!$D10)</f>
        <v>1</v>
      </c>
    </row>
    <row r="11" s="1" customFormat="true" ht="15" hidden="false" customHeight="true" outlineLevel="0" collapsed="false">
      <c r="A11" s="11" t="str">
        <f aca="false">Levers!A11</f>
        <v>gpt-5.2 (medium)</v>
      </c>
      <c r="B11" s="11" t="n">
        <f aca="false">Levers!H11</f>
        <v>10.8050698350722</v>
      </c>
      <c r="C11" s="11" t="n">
        <f aca="false">EXP(Levers!$G11-Levers!B11)</f>
        <v>3.87181669090089</v>
      </c>
      <c r="D11" s="11" t="n">
        <f aca="false">EXP(Levers!$G11-Levers!C11)</f>
        <v>3.86938311661371</v>
      </c>
      <c r="E11" s="11" t="n">
        <f aca="false">EXP(Levers!$G11-Levers!D11)</f>
        <v>9.96584111001809</v>
      </c>
      <c r="F11" s="11" t="n">
        <f aca="false">EXP(Levers!$G11-Levers!E11)</f>
        <v>8.72825373695844</v>
      </c>
      <c r="G11" s="11" t="n">
        <f aca="false">EXP(Levers!$G11-Levers!F11)</f>
        <v>10.4595372466241</v>
      </c>
      <c r="H11" s="11" t="n">
        <f aca="false">B11/C11</f>
        <v>2.79069767441861</v>
      </c>
      <c r="I11" s="11" t="n">
        <f aca="false">B11/D11</f>
        <v>2.79245283018868</v>
      </c>
      <c r="J11" s="11" t="n">
        <f aca="false">B11/E11</f>
        <v>1.08421052631579</v>
      </c>
      <c r="K11" s="11" t="n">
        <f aca="false">B11/F11</f>
        <v>1.23794176483663</v>
      </c>
      <c r="L11" s="11" t="n">
        <f aca="false">B11/G11</f>
        <v>1.03303516974995</v>
      </c>
      <c r="M11" s="11"/>
      <c r="N11" s="9" t="n">
        <f aca="false" t="array" ref="N11:N11">IF(AND(A11&lt;&gt;"gpt-4o-mini",INDEX(Corpus!$Q$3:$Q$60,MATCH(A11,Corpus!$A$3:$A$60,0))&lt;&gt;"None"),1,0)</f>
        <v>1</v>
      </c>
      <c r="O11" s="5" t="n">
        <f aca="false">EXP(Levers!$G11-Levers!$B11-Levers!$C11)</f>
        <v>1.38652895011991</v>
      </c>
      <c r="P11" s="5" t="n">
        <f aca="false">EXP(Levers!$G11-Levers!$B11-Levers!$C11-Levers!$E11)</f>
        <v>1.12002760509731</v>
      </c>
      <c r="Q11" s="5" t="n">
        <f aca="false">EXP(Levers!$G11-Levers!$B11-Levers!$C11-Levers!$E11-Levers!$F11)</f>
        <v>1.08421052631579</v>
      </c>
      <c r="R11" s="5" t="n">
        <f aca="false">EXP(Levers!$G11-Levers!$B11-Levers!$C11-Levers!$E11-Levers!$F11-Levers!$D11)</f>
        <v>1</v>
      </c>
    </row>
    <row r="12" s="1" customFormat="true" ht="15" hidden="false" customHeight="true" outlineLevel="0" collapsed="false">
      <c r="A12" s="11" t="str">
        <f aca="false">Levers!A12</f>
        <v>gpt-5.2 (high)</v>
      </c>
      <c r="B12" s="11" t="n">
        <f aca="false">Levers!H12</f>
        <v>10.8050182163209</v>
      </c>
      <c r="C12" s="11" t="n">
        <f aca="false">EXP(Levers!$G12-Levers!B12)</f>
        <v>3.87179819418165</v>
      </c>
      <c r="D12" s="11" t="n">
        <f aca="false">EXP(Levers!$G12-Levers!C12)</f>
        <v>3.86936463152032</v>
      </c>
      <c r="E12" s="11" t="n">
        <f aca="false">EXP(Levers!$G12-Levers!D12)</f>
        <v>9.96579350049014</v>
      </c>
      <c r="F12" s="11" t="n">
        <f aca="false">EXP(Levers!$G12-Levers!E12)</f>
        <v>8.82753304775717</v>
      </c>
      <c r="G12" s="11" t="n">
        <f aca="false">EXP(Levers!$G12-Levers!F12)</f>
        <v>10.3418541094097</v>
      </c>
      <c r="H12" s="11" t="n">
        <f aca="false">B12/C12</f>
        <v>2.7906976744186</v>
      </c>
      <c r="I12" s="11" t="n">
        <f aca="false">B12/D12</f>
        <v>2.79245283018868</v>
      </c>
      <c r="J12" s="11" t="n">
        <f aca="false">B12/E12</f>
        <v>1.08421052631579</v>
      </c>
      <c r="K12" s="11" t="n">
        <f aca="false">B12/F12</f>
        <v>1.22401334074486</v>
      </c>
      <c r="L12" s="11" t="n">
        <f aca="false">B12/G12</f>
        <v>1.04478540327597</v>
      </c>
      <c r="M12" s="11"/>
      <c r="N12" s="9" t="n">
        <f aca="false" t="array" ref="N12:N12">IF(AND(A12&lt;&gt;"gpt-4o-mini",INDEX(Corpus!$Q$3:$Q$60,MATCH(A12,Corpus!$A$3:$A$60,0))&lt;&gt;"None"),1,0)</f>
        <v>1</v>
      </c>
      <c r="O12" s="5" t="n">
        <f aca="false">EXP(Levers!$G12-Levers!$B12-Levers!$C12)</f>
        <v>1.38652232629478</v>
      </c>
      <c r="P12" s="5" t="n">
        <f aca="false">EXP(Levers!$G12-Levers!$B12-Levers!$C12-Levers!$E12)</f>
        <v>1.13276733197289</v>
      </c>
      <c r="Q12" s="5" t="n">
        <f aca="false">EXP(Levers!$G12-Levers!$B12-Levers!$C12-Levers!$E12-Levers!$F12)</f>
        <v>1.08421052631579</v>
      </c>
      <c r="R12" s="5" t="n">
        <f aca="false">EXP(Levers!$G12-Levers!$B12-Levers!$C12-Levers!$E12-Levers!$F12-Levers!$D12)</f>
        <v>1</v>
      </c>
    </row>
    <row r="13" s="1" customFormat="true" ht="15" hidden="false" customHeight="true" outlineLevel="0" collapsed="false">
      <c r="A13" s="11" t="str">
        <f aca="false">Levers!A13</f>
        <v>gpt-5.2 (xhigh)</v>
      </c>
      <c r="B13" s="11" t="n">
        <f aca="false">Levers!H13</f>
        <v>11.5460522983444</v>
      </c>
      <c r="C13" s="11" t="n">
        <f aca="false">EXP(Levers!$G13-Levers!B13)</f>
        <v>4.13733540690674</v>
      </c>
      <c r="D13" s="11" t="n">
        <f aca="false">EXP(Levers!$G13-Levers!C13)</f>
        <v>4.13473494467738</v>
      </c>
      <c r="E13" s="11" t="n">
        <f aca="false">EXP(Levers!$G13-Levers!D13)</f>
        <v>10.6492715373079</v>
      </c>
      <c r="F13" s="11" t="n">
        <f aca="false">EXP(Levers!$G13-Levers!E13)</f>
        <v>9.32705022147414</v>
      </c>
      <c r="G13" s="11" t="n">
        <f aca="false">EXP(Levers!$G13-Levers!F13)</f>
        <v>10.4592720849434</v>
      </c>
      <c r="H13" s="11" t="n">
        <f aca="false">B13/C13</f>
        <v>2.7906976744186</v>
      </c>
      <c r="I13" s="11" t="n">
        <f aca="false">B13/D13</f>
        <v>2.79245283018868</v>
      </c>
      <c r="J13" s="11" t="n">
        <f aca="false">B13/E13</f>
        <v>1.08421052631579</v>
      </c>
      <c r="K13" s="11" t="n">
        <f aca="false">B13/F13</f>
        <v>1.23791038154392</v>
      </c>
      <c r="L13" s="11" t="n">
        <f aca="false">B13/G13</f>
        <v>1.1039059128183</v>
      </c>
      <c r="M13" s="11"/>
      <c r="N13" s="9" t="n">
        <f aca="false" t="array" ref="N13:N13">IF(AND(A13&lt;&gt;"gpt-4o-mini",INDEX(Corpus!$Q$3:$Q$60,MATCH(A13,Corpus!$A$3:$A$60,0))&lt;&gt;"None"),1,0)</f>
        <v>1</v>
      </c>
      <c r="O13" s="5" t="n">
        <f aca="false">EXP(Levers!$G13-Levers!$B13-Levers!$C13)</f>
        <v>1.48161335517606</v>
      </c>
      <c r="P13" s="5" t="n">
        <f aca="false">EXP(Levers!$G13-Levers!$B13-Levers!$C13-Levers!$E13)</f>
        <v>1.19686641073984</v>
      </c>
      <c r="Q13" s="5" t="n">
        <f aca="false">EXP(Levers!$G13-Levers!$B13-Levers!$C13-Levers!$E13-Levers!$F13)</f>
        <v>1.08421052631579</v>
      </c>
      <c r="R13" s="5" t="n">
        <f aca="false">EXP(Levers!$G13-Levers!$B13-Levers!$C13-Levers!$E13-Levers!$F13-Levers!$D13)</f>
        <v>1</v>
      </c>
    </row>
    <row r="14" s="1" customFormat="true" ht="15" hidden="false" customHeight="true" outlineLevel="0" collapsed="false">
      <c r="A14" s="11" t="str">
        <f aca="false">Levers!A14</f>
        <v>gpt-5.4-nano (non-reasoning)</v>
      </c>
      <c r="B14" s="11" t="n">
        <f aca="false">Levers!H14</f>
        <v>10.5590492798124</v>
      </c>
      <c r="C14" s="11" t="n">
        <f aca="false">EXP(Levers!$G14-Levers!B14)</f>
        <v>3.7836593252661</v>
      </c>
      <c r="D14" s="11" t="n">
        <f aca="false">EXP(Levers!$G14-Levers!C14)</f>
        <v>3.78128116101389</v>
      </c>
      <c r="E14" s="11" t="n">
        <f aca="false">EXP(Levers!$G14-Levers!D14)</f>
        <v>9.73892894739977</v>
      </c>
      <c r="F14" s="11" t="n">
        <f aca="false">EXP(Levers!$G14-Levers!E14)</f>
        <v>8.44913512390014</v>
      </c>
      <c r="G14" s="11" t="n">
        <f aca="false">EXP(Levers!$G14-Levers!F14)</f>
        <v>10.5590492798124</v>
      </c>
      <c r="H14" s="11" t="n">
        <f aca="false">B14/C14</f>
        <v>2.7906976744186</v>
      </c>
      <c r="I14" s="11" t="n">
        <f aca="false">B14/D14</f>
        <v>2.79245283018868</v>
      </c>
      <c r="J14" s="11" t="n">
        <f aca="false">B14/E14</f>
        <v>1.08421052631579</v>
      </c>
      <c r="K14" s="11" t="n">
        <f aca="false">B14/F14</f>
        <v>1.24971954229302</v>
      </c>
      <c r="L14" s="11" t="n">
        <f aca="false">B14/G14</f>
        <v>1</v>
      </c>
      <c r="M14" s="11"/>
      <c r="N14" s="9" t="n">
        <f aca="false" t="array" ref="N14:N14">IF(AND(A14&lt;&gt;"gpt-4o-mini",INDEX(Corpus!$Q$3:$Q$60,MATCH(A14,Corpus!$A$3:$A$60,0))&lt;&gt;"None"),1,0)</f>
        <v>0</v>
      </c>
      <c r="O14" s="5" t="n">
        <f aca="false">EXP(Levers!$G14-Levers!$B14-Levers!$C14)</f>
        <v>1.35495908269665</v>
      </c>
      <c r="P14" s="5" t="n">
        <f aca="false">EXP(Levers!$G14-Levers!$B14-Levers!$C14-Levers!$E14)</f>
        <v>1.08421052631579</v>
      </c>
      <c r="Q14" s="5" t="n">
        <f aca="false">EXP(Levers!$G14-Levers!$B14-Levers!$C14-Levers!$E14-Levers!$F14)</f>
        <v>1.08421052631579</v>
      </c>
      <c r="R14" s="5" t="n">
        <f aca="false">EXP(Levers!$G14-Levers!$B14-Levers!$C14-Levers!$E14-Levers!$F14-Levers!$D14)</f>
        <v>1</v>
      </c>
    </row>
    <row r="15" s="1" customFormat="true" ht="15" hidden="false" customHeight="true" outlineLevel="0" collapsed="false">
      <c r="A15" s="11" t="str">
        <f aca="false">Levers!A15</f>
        <v>gpt-5.4-nano (low)</v>
      </c>
      <c r="B15" s="11" t="n">
        <f aca="false">Levers!H15</f>
        <v>10.9334418503663</v>
      </c>
      <c r="C15" s="11" t="n">
        <f aca="false">EXP(Levers!$G15-Levers!B15)</f>
        <v>3.91781666304792</v>
      </c>
      <c r="D15" s="11" t="n">
        <f aca="false">EXP(Levers!$G15-Levers!C15)</f>
        <v>3.91535417614468</v>
      </c>
      <c r="E15" s="11" t="n">
        <f aca="false">EXP(Levers!$G15-Levers!D15)</f>
        <v>10.0842424833475</v>
      </c>
      <c r="F15" s="11" t="n">
        <f aca="false">EXP(Levers!$G15-Levers!E15)</f>
        <v>8.70550617044308</v>
      </c>
      <c r="G15" s="11" t="n">
        <f aca="false">EXP(Levers!$G15-Levers!F15)</f>
        <v>10.6114596617818</v>
      </c>
      <c r="H15" s="11" t="n">
        <f aca="false">B15/C15</f>
        <v>2.79069767441861</v>
      </c>
      <c r="I15" s="11" t="n">
        <f aca="false">B15/D15</f>
        <v>2.79245283018868</v>
      </c>
      <c r="J15" s="11" t="n">
        <f aca="false">B15/E15</f>
        <v>1.08421052631579</v>
      </c>
      <c r="K15" s="11" t="n">
        <f aca="false">B15/F15</f>
        <v>1.25592258925592</v>
      </c>
      <c r="L15" s="11" t="n">
        <f aca="false">B15/G15</f>
        <v>1.03034287448164</v>
      </c>
      <c r="M15" s="11"/>
      <c r="N15" s="9" t="n">
        <f aca="false" t="array" ref="N15:N15">IF(AND(A15&lt;&gt;"gpt-4o-mini",INDEX(Corpus!$Q$3:$Q$60,MATCH(A15,Corpus!$A$3:$A$60,0))&lt;&gt;"None"),1,0)</f>
        <v>1</v>
      </c>
      <c r="O15" s="5" t="n">
        <f aca="false">EXP(Levers!$G15-Levers!$B15-Levers!$C15)</f>
        <v>1.40300191311851</v>
      </c>
      <c r="P15" s="5" t="n">
        <f aca="false">EXP(Levers!$G15-Levers!$B15-Levers!$C15-Levers!$E15)</f>
        <v>1.11710859022747</v>
      </c>
      <c r="Q15" s="5" t="n">
        <f aca="false">EXP(Levers!$G15-Levers!$B15-Levers!$C15-Levers!$E15-Levers!$F15)</f>
        <v>1.08421052631579</v>
      </c>
      <c r="R15" s="5" t="n">
        <f aca="false">EXP(Levers!$G15-Levers!$B15-Levers!$C15-Levers!$E15-Levers!$F15-Levers!$D15)</f>
        <v>1</v>
      </c>
    </row>
    <row r="16" s="1" customFormat="true" ht="15" hidden="false" customHeight="true" outlineLevel="0" collapsed="false">
      <c r="A16" s="11" t="str">
        <f aca="false">Levers!A16</f>
        <v>gpt-5.4-nano (medium)</v>
      </c>
      <c r="B16" s="11" t="n">
        <f aca="false">Levers!H16</f>
        <v>10.7614493607393</v>
      </c>
      <c r="C16" s="11" t="n">
        <f aca="false">EXP(Levers!$G16-Levers!B16)</f>
        <v>3.85618602093157</v>
      </c>
      <c r="D16" s="11" t="n">
        <f aca="false">EXP(Levers!$G16-Levers!C16)</f>
        <v>3.85376227107555</v>
      </c>
      <c r="E16" s="11" t="n">
        <f aca="false">EXP(Levers!$G16-Levers!D16)</f>
        <v>9.92560863369155</v>
      </c>
      <c r="F16" s="11" t="n">
        <f aca="false">EXP(Levers!$G16-Levers!E16)</f>
        <v>8.72536839731834</v>
      </c>
      <c r="G16" s="11" t="n">
        <f aca="false">EXP(Levers!$G16-Levers!F16)</f>
        <v>10.4207565385823</v>
      </c>
      <c r="H16" s="11" t="n">
        <f aca="false">B16/C16</f>
        <v>2.7906976744186</v>
      </c>
      <c r="I16" s="11" t="n">
        <f aca="false">B16/D16</f>
        <v>2.79245283018868</v>
      </c>
      <c r="J16" s="11" t="n">
        <f aca="false">B16/E16</f>
        <v>1.08421052631579</v>
      </c>
      <c r="K16" s="11" t="n">
        <f aca="false">B16/F16</f>
        <v>1.23335186214564</v>
      </c>
      <c r="L16" s="11" t="n">
        <f aca="false">B16/G16</f>
        <v>1.03269367448472</v>
      </c>
      <c r="M16" s="11"/>
      <c r="N16" s="9" t="n">
        <f aca="false" t="array" ref="N16:N16">IF(AND(A16&lt;&gt;"gpt-4o-mini",INDEX(Corpus!$Q$3:$Q$60,MATCH(A16,Corpus!$A$3:$A$60,0))&lt;&gt;"None"),1,0)</f>
        <v>1</v>
      </c>
      <c r="O16" s="5" t="n">
        <f aca="false">EXP(Levers!$G16-Levers!$B16-Levers!$C16)</f>
        <v>1.38093148046874</v>
      </c>
      <c r="P16" s="5" t="n">
        <f aca="false">EXP(Levers!$G16-Levers!$B16-Levers!$C16-Levers!$E16)</f>
        <v>1.11965735233606</v>
      </c>
      <c r="Q16" s="5" t="n">
        <f aca="false">EXP(Levers!$G16-Levers!$B16-Levers!$C16-Levers!$E16-Levers!$F16)</f>
        <v>1.08421052631579</v>
      </c>
      <c r="R16" s="5" t="n">
        <f aca="false">EXP(Levers!$G16-Levers!$B16-Levers!$C16-Levers!$E16-Levers!$F16-Levers!$D16)</f>
        <v>1</v>
      </c>
    </row>
    <row r="17" s="1" customFormat="true" ht="15" hidden="false" customHeight="true" outlineLevel="0" collapsed="false">
      <c r="A17" s="11" t="str">
        <f aca="false">Levers!A17</f>
        <v>gpt-5.4-nano (high)</v>
      </c>
      <c r="B17" s="11" t="n">
        <f aca="false">Levers!H17</f>
        <v>11.2755077842756</v>
      </c>
      <c r="C17" s="11" t="n">
        <f aca="false">EXP(Levers!$G17-Levers!B17)</f>
        <v>4.04039028936541</v>
      </c>
      <c r="D17" s="11" t="n">
        <f aca="false">EXP(Levers!$G17-Levers!C17)</f>
        <v>4.03785076058517</v>
      </c>
      <c r="E17" s="11" t="n">
        <f aca="false">EXP(Levers!$G17-Levers!D17)</f>
        <v>10.3997401893804</v>
      </c>
      <c r="F17" s="11" t="n">
        <f aca="false">EXP(Levers!$G17-Levers!E17)</f>
        <v>8.9526738545123</v>
      </c>
      <c r="G17" s="11" t="n">
        <f aca="false">EXP(Levers!$G17-Levers!F17)</f>
        <v>10.6413224035762</v>
      </c>
      <c r="H17" s="11" t="n">
        <f aca="false">B17/C17</f>
        <v>2.7906976744186</v>
      </c>
      <c r="I17" s="11" t="n">
        <f aca="false">B17/D17</f>
        <v>2.79245283018868</v>
      </c>
      <c r="J17" s="11" t="n">
        <f aca="false">B17/E17</f>
        <v>1.08421052631579</v>
      </c>
      <c r="K17" s="11" t="n">
        <f aca="false">B17/F17</f>
        <v>1.25945700329433</v>
      </c>
      <c r="L17" s="11" t="n">
        <f aca="false">B17/G17</f>
        <v>1.0595964821521</v>
      </c>
      <c r="M17" s="11"/>
      <c r="N17" s="9" t="n">
        <f aca="false" t="array" ref="N17:N17">IF(AND(A17&lt;&gt;"gpt-4o-mini",INDEX(Corpus!$Q$3:$Q$60,MATCH(A17,Corpus!$A$3:$A$60,0))&lt;&gt;"None"),1,0)</f>
        <v>1</v>
      </c>
      <c r="O17" s="5" t="n">
        <f aca="false">EXP(Levers!$G17-Levers!$B17-Levers!$C17)</f>
        <v>1.44689652254302</v>
      </c>
      <c r="P17" s="5" t="n">
        <f aca="false">EXP(Levers!$G17-Levers!$B17-Levers!$C17-Levers!$E17)</f>
        <v>1.14882565959648</v>
      </c>
      <c r="Q17" s="5" t="n">
        <f aca="false">EXP(Levers!$G17-Levers!$B17-Levers!$C17-Levers!$E17-Levers!$F17)</f>
        <v>1.08421052631579</v>
      </c>
      <c r="R17" s="5" t="n">
        <f aca="false">EXP(Levers!$G17-Levers!$B17-Levers!$C17-Levers!$E17-Levers!$F17-Levers!$D17)</f>
        <v>1</v>
      </c>
    </row>
    <row r="18" s="1" customFormat="true" ht="15" hidden="false" customHeight="true" outlineLevel="0" collapsed="false">
      <c r="A18" s="11" t="str">
        <f aca="false">Levers!A18</f>
        <v>gpt-5.4-nano (xhigh)</v>
      </c>
      <c r="B18" s="11" t="n">
        <f aca="false">Levers!H18</f>
        <v>11.4331147319805</v>
      </c>
      <c r="C18" s="11" t="n">
        <f aca="false">EXP(Levers!$G18-Levers!B18)</f>
        <v>4.09686611229301</v>
      </c>
      <c r="D18" s="11" t="n">
        <f aca="false">EXP(Levers!$G18-Levers!C18)</f>
        <v>4.09429108645248</v>
      </c>
      <c r="E18" s="11" t="n">
        <f aca="false">EXP(Levers!$G18-Levers!D18)</f>
        <v>10.5451058207587</v>
      </c>
      <c r="F18" s="11" t="n">
        <f aca="false">EXP(Levers!$G18-Levers!E18)</f>
        <v>9.0064821990803</v>
      </c>
      <c r="G18" s="11" t="n">
        <f aca="false">EXP(Levers!$G18-Levers!F18)</f>
        <v>10.7256006421043</v>
      </c>
      <c r="H18" s="11" t="n">
        <f aca="false">B18/C18</f>
        <v>2.79069767441861</v>
      </c>
      <c r="I18" s="11" t="n">
        <f aca="false">B18/D18</f>
        <v>2.79245283018868</v>
      </c>
      <c r="J18" s="11" t="n">
        <f aca="false">B18/E18</f>
        <v>1.08421052631579</v>
      </c>
      <c r="K18" s="11" t="n">
        <f aca="false">B18/F18</f>
        <v>1.26943178027355</v>
      </c>
      <c r="L18" s="11" t="n">
        <f aca="false">B18/G18</f>
        <v>1.06596498541059</v>
      </c>
      <c r="M18" s="11"/>
      <c r="N18" s="9" t="n">
        <f aca="false" t="array" ref="N18:N18">IF(AND(A18&lt;&gt;"gpt-4o-mini",INDEX(Corpus!$Q$3:$Q$60,MATCH(A18,Corpus!$A$3:$A$60,0))&lt;&gt;"None"),1,0)</f>
        <v>1</v>
      </c>
      <c r="O18" s="5" t="n">
        <f aca="false">EXP(Levers!$G18-Levers!$B18-Levers!$C18)</f>
        <v>1.46712097264547</v>
      </c>
      <c r="P18" s="5" t="n">
        <f aca="false">EXP(Levers!$G18-Levers!$B18-Levers!$C18-Levers!$E18)</f>
        <v>1.15573045786622</v>
      </c>
      <c r="Q18" s="5" t="n">
        <f aca="false">EXP(Levers!$G18-Levers!$B18-Levers!$C18-Levers!$E18-Levers!$F18)</f>
        <v>1.08421052631579</v>
      </c>
      <c r="R18" s="5" t="n">
        <f aca="false">EXP(Levers!$G18-Levers!$B18-Levers!$C18-Levers!$E18-Levers!$F18-Levers!$D18)</f>
        <v>1</v>
      </c>
    </row>
    <row r="19" s="1" customFormat="true" ht="15" hidden="false" customHeight="true" outlineLevel="0" collapsed="false">
      <c r="A19" s="11" t="str">
        <f aca="false">Levers!A19</f>
        <v>gpt-5.4-mini (non-reasoning)</v>
      </c>
      <c r="B19" s="11" t="n">
        <f aca="false">Levers!H19</f>
        <v>10.442254792607</v>
      </c>
      <c r="C19" s="11" t="n">
        <f aca="false">EXP(Levers!$G19-Levers!B19)</f>
        <v>3.74180796735083</v>
      </c>
      <c r="D19" s="11" t="n">
        <f aca="false">EXP(Levers!$G19-Levers!C19)</f>
        <v>3.73945610816331</v>
      </c>
      <c r="E19" s="11" t="n">
        <f aca="false">EXP(Levers!$G19-Levers!D19)</f>
        <v>9.63120587667634</v>
      </c>
      <c r="F19" s="11" t="n">
        <f aca="false">EXP(Levers!$G19-Levers!E19)</f>
        <v>8.44913512390014</v>
      </c>
      <c r="G19" s="11" t="n">
        <f aca="false">EXP(Levers!$G19-Levers!F19)</f>
        <v>10.442254792607</v>
      </c>
      <c r="H19" s="11" t="n">
        <f aca="false">B19/C19</f>
        <v>2.7906976744186</v>
      </c>
      <c r="I19" s="11" t="n">
        <f aca="false">B19/D19</f>
        <v>2.79245283018868</v>
      </c>
      <c r="J19" s="11" t="n">
        <f aca="false">B19/E19</f>
        <v>1.08421052631579</v>
      </c>
      <c r="K19" s="11" t="n">
        <f aca="false">B19/F19</f>
        <v>1.23589629464782</v>
      </c>
      <c r="L19" s="11" t="n">
        <f aca="false">B19/G19</f>
        <v>1</v>
      </c>
      <c r="M19" s="11"/>
      <c r="N19" s="9" t="n">
        <f aca="false" t="array" ref="N19:N19">IF(AND(A19&lt;&gt;"gpt-4o-mini",INDEX(Corpus!$Q$3:$Q$60,MATCH(A19,Corpus!$A$3:$A$60,0))&lt;&gt;"None"),1,0)</f>
        <v>0</v>
      </c>
      <c r="O19" s="5" t="n">
        <f aca="false">EXP(Levers!$G19-Levers!$B19-Levers!$C19)</f>
        <v>1.33997177209185</v>
      </c>
      <c r="P19" s="5" t="n">
        <f aca="false">EXP(Levers!$G19-Levers!$B19-Levers!$C19-Levers!$E19)</f>
        <v>1.08421052631579</v>
      </c>
      <c r="Q19" s="5" t="n">
        <f aca="false">EXP(Levers!$G19-Levers!$B19-Levers!$C19-Levers!$E19-Levers!$F19)</f>
        <v>1.08421052631579</v>
      </c>
      <c r="R19" s="5" t="n">
        <f aca="false">EXP(Levers!$G19-Levers!$B19-Levers!$C19-Levers!$E19-Levers!$F19-Levers!$D19)</f>
        <v>1</v>
      </c>
    </row>
    <row r="20" s="1" customFormat="true" ht="15" hidden="false" customHeight="true" outlineLevel="0" collapsed="false">
      <c r="A20" s="11" t="str">
        <f aca="false">Levers!A20</f>
        <v>gpt-5.4-mini (low)</v>
      </c>
      <c r="B20" s="11" t="n">
        <f aca="false">Levers!H20</f>
        <v>10.8144084271898</v>
      </c>
      <c r="C20" s="11" t="n">
        <f aca="false">EXP(Levers!$G20-Levers!B20)</f>
        <v>3.87516301974302</v>
      </c>
      <c r="D20" s="11" t="n">
        <f aca="false">EXP(Levers!$G20-Levers!C20)</f>
        <v>3.87272734216933</v>
      </c>
      <c r="E20" s="11" t="n">
        <f aca="false">EXP(Levers!$G20-Levers!D20)</f>
        <v>9.97445437459255</v>
      </c>
      <c r="F20" s="11" t="n">
        <f aca="false">EXP(Levers!$G20-Levers!E20)</f>
        <v>8.78196155086467</v>
      </c>
      <c r="G20" s="11" t="n">
        <f aca="false">EXP(Levers!$G20-Levers!F20)</f>
        <v>10.4045545584716</v>
      </c>
      <c r="H20" s="11" t="n">
        <f aca="false">B20/C20</f>
        <v>2.7906976744186</v>
      </c>
      <c r="I20" s="11" t="n">
        <f aca="false">B20/D20</f>
        <v>2.79245283018868</v>
      </c>
      <c r="J20" s="11" t="n">
        <f aca="false">B20/E20</f>
        <v>1.08421052631579</v>
      </c>
      <c r="K20" s="11" t="n">
        <f aca="false">B20/F20</f>
        <v>1.23143427178009</v>
      </c>
      <c r="L20" s="11" t="n">
        <f aca="false">B20/G20</f>
        <v>1.03939177467089</v>
      </c>
      <c r="M20" s="11"/>
      <c r="N20" s="9" t="n">
        <f aca="false" t="array" ref="N20:N20">IF(AND(A20&lt;&gt;"gpt-4o-mini",INDEX(Corpus!$Q$3:$Q$60,MATCH(A20,Corpus!$A$3:$A$60,0))&lt;&gt;"None"),1,0)</f>
        <v>1</v>
      </c>
      <c r="O20" s="5" t="n">
        <f aca="false">EXP(Levers!$G20-Levers!$B20-Levers!$C20)</f>
        <v>1.38772729761068</v>
      </c>
      <c r="P20" s="5" t="n">
        <f aca="false">EXP(Levers!$G20-Levers!$B20-Levers!$C20-Levers!$E20)</f>
        <v>1.12691950306422</v>
      </c>
      <c r="Q20" s="5" t="n">
        <f aca="false">EXP(Levers!$G20-Levers!$B20-Levers!$C20-Levers!$E20-Levers!$F20)</f>
        <v>1.08421052631579</v>
      </c>
      <c r="R20" s="5" t="n">
        <f aca="false">EXP(Levers!$G20-Levers!$B20-Levers!$C20-Levers!$E20-Levers!$F20-Levers!$D20)</f>
        <v>1</v>
      </c>
    </row>
    <row r="21" s="1" customFormat="true" ht="15.75" hidden="false" customHeight="true" outlineLevel="0" collapsed="false">
      <c r="A21" s="11" t="str">
        <f aca="false">Levers!A21</f>
        <v>gpt-5.4-mini (medium)</v>
      </c>
      <c r="B21" s="11" t="n">
        <f aca="false">Levers!H21</f>
        <v>11.5603522249334</v>
      </c>
      <c r="C21" s="11" t="n">
        <f aca="false">EXP(Levers!$G21-Levers!B21)</f>
        <v>4.14245954726779</v>
      </c>
      <c r="D21" s="11" t="n">
        <f aca="false">EXP(Levers!$G21-Levers!C21)</f>
        <v>4.13985586433425</v>
      </c>
      <c r="E21" s="11" t="n">
        <f aca="false">EXP(Levers!$G21-Levers!D21)</f>
        <v>10.6624607899871</v>
      </c>
      <c r="F21" s="11" t="n">
        <f aca="false">EXP(Levers!$G21-Levers!E21)</f>
        <v>9.37300532070202</v>
      </c>
      <c r="G21" s="11" t="n">
        <f aca="false">EXP(Levers!$G21-Levers!F21)</f>
        <v>10.420881530133</v>
      </c>
      <c r="H21" s="11" t="n">
        <f aca="false">B21/C21</f>
        <v>2.7906976744186</v>
      </c>
      <c r="I21" s="11" t="n">
        <f aca="false">B21/D21</f>
        <v>2.79245283018868</v>
      </c>
      <c r="J21" s="11" t="n">
        <f aca="false">B21/E21</f>
        <v>1.08421052631579</v>
      </c>
      <c r="K21" s="11" t="n">
        <f aca="false">B21/F21</f>
        <v>1.23336665555926</v>
      </c>
      <c r="L21" s="11" t="n">
        <f aca="false">B21/G21</f>
        <v>1.1093449427964</v>
      </c>
      <c r="M21" s="11"/>
      <c r="N21" s="9" t="n">
        <f aca="false" t="array" ref="N21:N21">IF(AND(A21&lt;&gt;"gpt-4o-mini",INDEX(Corpus!$Q$3:$Q$60,MATCH(A21,Corpus!$A$3:$A$60,0))&lt;&gt;"None"),1,0)</f>
        <v>1</v>
      </c>
      <c r="O21" s="5" t="n">
        <f aca="false">EXP(Levers!$G21-Levers!$B21-Levers!$C21)</f>
        <v>1.48344835138644</v>
      </c>
      <c r="P21" s="5" t="n">
        <f aca="false">EXP(Levers!$G21-Levers!$B21-Levers!$C21-Levers!$E21)</f>
        <v>1.20276346429504</v>
      </c>
      <c r="Q21" s="5" t="n">
        <f aca="false">EXP(Levers!$G21-Levers!$B21-Levers!$C21-Levers!$E21-Levers!$F21)</f>
        <v>1.08421052631579</v>
      </c>
      <c r="R21" s="5" t="n">
        <f aca="false">EXP(Levers!$G21-Levers!$B21-Levers!$C21-Levers!$E21-Levers!$F21-Levers!$D21)</f>
        <v>1</v>
      </c>
    </row>
    <row r="22" s="1" customFormat="true" ht="15.75" hidden="false" customHeight="true" outlineLevel="0" collapsed="false">
      <c r="A22" s="11" t="str">
        <f aca="false">Levers!A22</f>
        <v>gpt-5.4-mini (high)</v>
      </c>
      <c r="B22" s="11" t="n">
        <f aca="false">Levers!H22</f>
        <v>11.2133264125455</v>
      </c>
      <c r="C22" s="11" t="n">
        <f aca="false">EXP(Levers!$G22-Levers!B22)</f>
        <v>4.01810863116213</v>
      </c>
      <c r="D22" s="11" t="n">
        <f aca="false">EXP(Levers!$G22-Levers!C22)</f>
        <v>4.01558310719534</v>
      </c>
      <c r="E22" s="11" t="n">
        <f aca="false">EXP(Levers!$G22-Levers!D22)</f>
        <v>10.3423884387555</v>
      </c>
      <c r="F22" s="11" t="n">
        <f aca="false">EXP(Levers!$G22-Levers!E22)</f>
        <v>9.13106905879891</v>
      </c>
      <c r="G22" s="11" t="n">
        <f aca="false">EXP(Levers!$G22-Levers!F22)</f>
        <v>10.3758836383675</v>
      </c>
      <c r="H22" s="11" t="n">
        <f aca="false">B22/C22</f>
        <v>2.7906976744186</v>
      </c>
      <c r="I22" s="11" t="n">
        <f aca="false">B22/D22</f>
        <v>2.79245283018868</v>
      </c>
      <c r="J22" s="11" t="n">
        <f aca="false">B22/E22</f>
        <v>1.08421052631579</v>
      </c>
      <c r="K22" s="11" t="n">
        <f aca="false">B22/F22</f>
        <v>1.22804091616633</v>
      </c>
      <c r="L22" s="11" t="n">
        <f aca="false">B22/G22</f>
        <v>1.08071050171393</v>
      </c>
      <c r="M22" s="11"/>
      <c r="N22" s="9" t="n">
        <f aca="false" t="array" ref="N22:N22">IF(AND(A22&lt;&gt;"gpt-4o-mini",INDEX(Corpus!$Q$3:$Q$60,MATCH(A22,Corpus!$A$3:$A$60,0))&lt;&gt;"None"),1,0)</f>
        <v>1</v>
      </c>
      <c r="O22" s="5" t="n">
        <f aca="false">EXP(Levers!$G22-Levers!$B22-Levers!$C22)</f>
        <v>1.43891728007833</v>
      </c>
      <c r="P22" s="5" t="n">
        <f aca="false">EXP(Levers!$G22-Levers!$B22-Levers!$C22-Levers!$E22)</f>
        <v>1.17171770185826</v>
      </c>
      <c r="Q22" s="5" t="n">
        <f aca="false">EXP(Levers!$G22-Levers!$B22-Levers!$C22-Levers!$E22-Levers!$F22)</f>
        <v>1.08421052631579</v>
      </c>
      <c r="R22" s="5" t="n">
        <f aca="false">EXP(Levers!$G22-Levers!$B22-Levers!$C22-Levers!$E22-Levers!$F22-Levers!$D22)</f>
        <v>1</v>
      </c>
    </row>
    <row r="23" s="1" customFormat="true" ht="15.75" hidden="false" customHeight="true" outlineLevel="0" collapsed="false">
      <c r="A23" s="11" t="str">
        <f aca="false">Levers!A23</f>
        <v>gpt-5.4-mini (xhigh)</v>
      </c>
      <c r="B23" s="11" t="n">
        <f aca="false">Levers!H23</f>
        <v>18.8996952581074</v>
      </c>
      <c r="C23" s="11" t="n">
        <f aca="false">EXP(Levers!$G23-Levers!B23)</f>
        <v>6.77239080082183</v>
      </c>
      <c r="D23" s="11" t="n">
        <f aca="false">EXP(Levers!$G23-Levers!C23)</f>
        <v>6.76813411270064</v>
      </c>
      <c r="E23" s="11" t="n">
        <f aca="false">EXP(Levers!$G23-Levers!D23)</f>
        <v>17.4317577623321</v>
      </c>
      <c r="F23" s="11" t="n">
        <f aca="false">EXP(Levers!$G23-Levers!E23)</f>
        <v>13.6115328598181</v>
      </c>
      <c r="G23" s="11" t="n">
        <f aca="false">EXP(Levers!$G23-Levers!F23)</f>
        <v>11.7316749465951</v>
      </c>
      <c r="H23" s="11" t="n">
        <f aca="false">B23/C23</f>
        <v>2.7906976744186</v>
      </c>
      <c r="I23" s="11" t="n">
        <f aca="false">B23/D23</f>
        <v>2.79245283018868</v>
      </c>
      <c r="J23" s="11" t="n">
        <f aca="false">B23/E23</f>
        <v>1.08421052631579</v>
      </c>
      <c r="K23" s="11" t="n">
        <f aca="false">B23/F23</f>
        <v>1.38850601565238</v>
      </c>
      <c r="L23" s="11" t="n">
        <f aca="false">B23/G23</f>
        <v>1.6109971802102</v>
      </c>
      <c r="M23" s="11"/>
      <c r="N23" s="9" t="n">
        <f aca="false" t="array" ref="N23:N23">IF(AND(A23&lt;&gt;"gpt-4o-mini",INDEX(Corpus!$Q$3:$Q$60,MATCH(A23,Corpus!$A$3:$A$60,0))&lt;&gt;"None"),1,0)</f>
        <v>1</v>
      </c>
      <c r="O23" s="5" t="n">
        <f aca="false">EXP(Levers!$G23-Levers!$B23-Levers!$C23)</f>
        <v>2.42524805705106</v>
      </c>
      <c r="P23" s="5" t="n">
        <f aca="false">EXP(Levers!$G23-Levers!$B23-Levers!$C23-Levers!$E23)</f>
        <v>1.74666010064896</v>
      </c>
      <c r="Q23" s="5" t="n">
        <f aca="false">EXP(Levers!$G23-Levers!$B23-Levers!$C23-Levers!$E23-Levers!$F23)</f>
        <v>1.08421052631579</v>
      </c>
      <c r="R23" s="5" t="n">
        <f aca="false">EXP(Levers!$G23-Levers!$B23-Levers!$C23-Levers!$E23-Levers!$F23-Levers!$D23)</f>
        <v>1</v>
      </c>
    </row>
    <row r="24" s="1" customFormat="true" ht="15.75" hidden="false" customHeight="true" outlineLevel="0" collapsed="false">
      <c r="A24" s="11" t="str">
        <f aca="false">Levers!A24</f>
        <v>gpt-5.4 (non-reasoning)</v>
      </c>
      <c r="B24" s="11" t="n">
        <f aca="false">Levers!H24</f>
        <v>10.6746825264006</v>
      </c>
      <c r="C24" s="11" t="n">
        <f aca="false">EXP(Levers!$G24-Levers!B24)</f>
        <v>3.82509457196023</v>
      </c>
      <c r="D24" s="11" t="n">
        <f aca="false">EXP(Levers!$G24-Levers!C24)</f>
        <v>3.82269036418402</v>
      </c>
      <c r="E24" s="11" t="n">
        <f aca="false">EXP(Levers!$G24-Levers!D24)</f>
        <v>9.84558097095205</v>
      </c>
      <c r="F24" s="11" t="n">
        <f aca="false">EXP(Levers!$G24-Levers!E24)</f>
        <v>8.44913512390014</v>
      </c>
      <c r="G24" s="11" t="n">
        <f aca="false">EXP(Levers!$G24-Levers!F24)</f>
        <v>10.6746825264006</v>
      </c>
      <c r="H24" s="11" t="n">
        <f aca="false">B24/C24</f>
        <v>2.7906976744186</v>
      </c>
      <c r="I24" s="11" t="n">
        <f aca="false">B24/D24</f>
        <v>2.79245283018868</v>
      </c>
      <c r="J24" s="11" t="n">
        <f aca="false">B24/E24</f>
        <v>1.08421052631579</v>
      </c>
      <c r="K24" s="11" t="n">
        <f aca="false">B24/F24</f>
        <v>1.26340535094593</v>
      </c>
      <c r="L24" s="11" t="n">
        <f aca="false">B24/G24</f>
        <v>1</v>
      </c>
      <c r="M24" s="11"/>
      <c r="N24" s="9" t="n">
        <f aca="false" t="array" ref="N24:N24">IF(AND(A24&lt;&gt;"gpt-4o-mini",INDEX(Corpus!$Q$3:$Q$60,MATCH(A24,Corpus!$A$3:$A$60,0))&lt;&gt;"None"),1,0)</f>
        <v>0</v>
      </c>
      <c r="O24" s="5" t="n">
        <f aca="false">EXP(Levers!$G24-Levers!$B24-Levers!$C24)</f>
        <v>1.36979738049927</v>
      </c>
      <c r="P24" s="5" t="n">
        <f aca="false">EXP(Levers!$G24-Levers!$B24-Levers!$C24-Levers!$E24)</f>
        <v>1.08421052631579</v>
      </c>
      <c r="Q24" s="5" t="n">
        <f aca="false">EXP(Levers!$G24-Levers!$B24-Levers!$C24-Levers!$E24-Levers!$F24)</f>
        <v>1.08421052631579</v>
      </c>
      <c r="R24" s="5" t="n">
        <f aca="false">EXP(Levers!$G24-Levers!$B24-Levers!$C24-Levers!$E24-Levers!$F24-Levers!$D24)</f>
        <v>1</v>
      </c>
    </row>
    <row r="25" s="1" customFormat="true" ht="15.75" hidden="false" customHeight="true" outlineLevel="0" collapsed="false">
      <c r="A25" s="11" t="str">
        <f aca="false">Levers!A25</f>
        <v>gpt-5.4 (low)</v>
      </c>
      <c r="B25" s="11" t="n">
        <f aca="false">Levers!H25</f>
        <v>10.6736922836178</v>
      </c>
      <c r="C25" s="11" t="n">
        <f aca="false">EXP(Levers!$G25-Levers!B25)</f>
        <v>3.82473973496303</v>
      </c>
      <c r="D25" s="11" t="n">
        <f aca="false">EXP(Levers!$G25-Levers!C25)</f>
        <v>3.82233575021447</v>
      </c>
      <c r="E25" s="11" t="n">
        <f aca="false">EXP(Levers!$G25-Levers!D25)</f>
        <v>9.84466764022997</v>
      </c>
      <c r="F25" s="11" t="n">
        <f aca="false">EXP(Levers!$G25-Levers!E25)</f>
        <v>8.64005676898777</v>
      </c>
      <c r="G25" s="11" t="n">
        <f aca="false">EXP(Levers!$G25-Levers!F25)</f>
        <v>10.4378328506958</v>
      </c>
      <c r="H25" s="11" t="n">
        <f aca="false">B25/C25</f>
        <v>2.79069767441861</v>
      </c>
      <c r="I25" s="11" t="n">
        <f aca="false">B25/D25</f>
        <v>2.79245283018868</v>
      </c>
      <c r="J25" s="11" t="n">
        <f aca="false">B25/E25</f>
        <v>1.08421052631579</v>
      </c>
      <c r="K25" s="11" t="n">
        <f aca="false">B25/F25</f>
        <v>1.23537293434569</v>
      </c>
      <c r="L25" s="11" t="n">
        <f aca="false">B25/G25</f>
        <v>1.02259659033592</v>
      </c>
      <c r="M25" s="11"/>
      <c r="N25" s="9" t="n">
        <f aca="false" t="array" ref="N25:N25">IF(AND(A25&lt;&gt;"gpt-4o-mini",INDEX(Corpus!$Q$3:$Q$60,MATCH(A25,Corpus!$A$3:$A$60,0))&lt;&gt;"None"),1,0)</f>
        <v>1</v>
      </c>
      <c r="O25" s="5" t="n">
        <f aca="false">EXP(Levers!$G25-Levers!$B25-Levers!$C25)</f>
        <v>1.36967031049352</v>
      </c>
      <c r="P25" s="5" t="n">
        <f aca="false">EXP(Levers!$G25-Levers!$B25-Levers!$C25-Levers!$E25)</f>
        <v>1.10870998741684</v>
      </c>
      <c r="Q25" s="5" t="n">
        <f aca="false">EXP(Levers!$G25-Levers!$B25-Levers!$C25-Levers!$E25-Levers!$F25)</f>
        <v>1.08421052631579</v>
      </c>
      <c r="R25" s="5" t="n">
        <f aca="false">EXP(Levers!$G25-Levers!$B25-Levers!$C25-Levers!$E25-Levers!$F25-Levers!$D25)</f>
        <v>1</v>
      </c>
    </row>
    <row r="26" s="1" customFormat="true" ht="15.75" hidden="false" customHeight="true" outlineLevel="0" collapsed="false">
      <c r="A26" s="11" t="str">
        <f aca="false">Levers!A26</f>
        <v>gpt-5.4 (medium)</v>
      </c>
      <c r="B26" s="11" t="n">
        <f aca="false">Levers!H26</f>
        <v>11.2620367470057</v>
      </c>
      <c r="C26" s="11" t="n">
        <f aca="false">EXP(Levers!$G26-Levers!B26)</f>
        <v>4.03556316767705</v>
      </c>
      <c r="D26" s="11" t="n">
        <f aca="false">EXP(Levers!$G26-Levers!C26)</f>
        <v>4.03302667291421</v>
      </c>
      <c r="E26" s="11" t="n">
        <f aca="false">EXP(Levers!$G26-Levers!D26)</f>
        <v>10.3873154462674</v>
      </c>
      <c r="F26" s="11" t="n">
        <f aca="false">EXP(Levers!$G26-Levers!E26)</f>
        <v>8.93873876202607</v>
      </c>
      <c r="G26" s="11" t="n">
        <f aca="false">EXP(Levers!$G26-Levers!F26)</f>
        <v>10.6451785625529</v>
      </c>
      <c r="H26" s="11" t="n">
        <f aca="false">B26/C26</f>
        <v>2.79069767441861</v>
      </c>
      <c r="I26" s="11" t="n">
        <f aca="false">B26/D26</f>
        <v>2.79245283018868</v>
      </c>
      <c r="J26" s="11" t="n">
        <f aca="false">B26/E26</f>
        <v>1.08421052631579</v>
      </c>
      <c r="K26" s="11" t="n">
        <f aca="false">B26/F26</f>
        <v>1.25991340018232</v>
      </c>
      <c r="L26" s="11" t="n">
        <f aca="false">B26/G26</f>
        <v>1.05794718997226</v>
      </c>
      <c r="M26" s="11"/>
      <c r="N26" s="9" t="n">
        <f aca="false" t="array" ref="N26:N26">IF(AND(A26&lt;&gt;"gpt-4o-mini",INDEX(Corpus!$Q$3:$Q$60,MATCH(A26,Corpus!$A$3:$A$60,0))&lt;&gt;"None"),1,0)</f>
        <v>1</v>
      </c>
      <c r="O26" s="5" t="n">
        <f aca="false">EXP(Levers!$G26-Levers!$B26-Levers!$C26)</f>
        <v>1.44516789112759</v>
      </c>
      <c r="P26" s="5" t="n">
        <f aca="false">EXP(Levers!$G26-Levers!$B26-Levers!$C26-Levers!$E26)</f>
        <v>1.14703747965413</v>
      </c>
      <c r="Q26" s="5" t="n">
        <f aca="false">EXP(Levers!$G26-Levers!$B26-Levers!$C26-Levers!$E26-Levers!$F26)</f>
        <v>1.08421052631579</v>
      </c>
      <c r="R26" s="5" t="n">
        <f aca="false">EXP(Levers!$G26-Levers!$B26-Levers!$C26-Levers!$E26-Levers!$F26-Levers!$D26)</f>
        <v>1</v>
      </c>
    </row>
    <row r="27" s="1" customFormat="true" ht="15.75" hidden="false" customHeight="true" outlineLevel="0" collapsed="false">
      <c r="A27" s="11" t="str">
        <f aca="false">Levers!A27</f>
        <v>gpt-5.4 (high)</v>
      </c>
      <c r="B27" s="11" t="n">
        <f aca="false">Levers!H27</f>
        <v>11.5092719923191</v>
      </c>
      <c r="C27" s="11" t="n">
        <f aca="false">EXP(Levers!$G27-Levers!B27)</f>
        <v>4.12415579724769</v>
      </c>
      <c r="D27" s="11" t="n">
        <f aca="false">EXP(Levers!$G27-Levers!C27)</f>
        <v>4.12156361887104</v>
      </c>
      <c r="E27" s="11" t="n">
        <f aca="false">EXP(Levers!$G27-Levers!D27)</f>
        <v>10.6153479540808</v>
      </c>
      <c r="F27" s="11" t="n">
        <f aca="false">EXP(Levers!$G27-Levers!E27)</f>
        <v>9.31015466408945</v>
      </c>
      <c r="G27" s="11" t="n">
        <f aca="false">EXP(Levers!$G27-Levers!F27)</f>
        <v>10.4448741991264</v>
      </c>
      <c r="H27" s="11" t="n">
        <f aca="false">B27/C27</f>
        <v>2.79069767441861</v>
      </c>
      <c r="I27" s="11" t="n">
        <f aca="false">B27/D27</f>
        <v>2.79245283018868</v>
      </c>
      <c r="J27" s="11" t="n">
        <f aca="false">B27/E27</f>
        <v>1.08421052631579</v>
      </c>
      <c r="K27" s="11" t="n">
        <f aca="false">B27/F27</f>
        <v>1.23620631531633</v>
      </c>
      <c r="L27" s="11" t="n">
        <f aca="false">B27/G27</f>
        <v>1.10190623390005</v>
      </c>
      <c r="M27" s="11"/>
      <c r="N27" s="9" t="n">
        <f aca="false" t="array" ref="N27:N27">IF(AND(A27&lt;&gt;"gpt-4o-mini",INDEX(Corpus!$Q$3:$Q$60,MATCH(A27,Corpus!$A$3:$A$60,0))&lt;&gt;"None"),1,0)</f>
        <v>1</v>
      </c>
      <c r="O27" s="5" t="n">
        <f aca="false">EXP(Levers!$G27-Levers!$B27-Levers!$C27)</f>
        <v>1.47689363009546</v>
      </c>
      <c r="P27" s="5" t="n">
        <f aca="false">EXP(Levers!$G27-Levers!$B27-Levers!$C27-Levers!$E27)</f>
        <v>1.19469833780742</v>
      </c>
      <c r="Q27" s="5" t="n">
        <f aca="false">EXP(Levers!$G27-Levers!$B27-Levers!$C27-Levers!$E27-Levers!$F27)</f>
        <v>1.08421052631579</v>
      </c>
      <c r="R27" s="5" t="n">
        <f aca="false">EXP(Levers!$G27-Levers!$B27-Levers!$C27-Levers!$E27-Levers!$F27-Levers!$D27)</f>
        <v>1</v>
      </c>
    </row>
    <row r="28" s="1" customFormat="true" ht="15.75" hidden="false" customHeight="true" outlineLevel="0" collapsed="false">
      <c r="A28" s="11" t="str">
        <f aca="false">Levers!A28</f>
        <v>gpt-5.4 (xhigh)</v>
      </c>
      <c r="B28" s="11" t="n">
        <f aca="false">Levers!H28</f>
        <v>12.1392274803831</v>
      </c>
      <c r="C28" s="11" t="n">
        <f aca="false">EXP(Levers!$G28-Levers!B28)</f>
        <v>4.34988984713726</v>
      </c>
      <c r="D28" s="11" t="n">
        <f aca="false">EXP(Levers!$G28-Levers!C28)</f>
        <v>4.34715578689393</v>
      </c>
      <c r="E28" s="11" t="n">
        <f aca="false">EXP(Levers!$G28-Levers!D28)</f>
        <v>11.1963748605475</v>
      </c>
      <c r="F28" s="11" t="n">
        <f aca="false">EXP(Levers!$G28-Levers!E28)</f>
        <v>9.7476281447384</v>
      </c>
      <c r="G28" s="11" t="n">
        <f aca="false">EXP(Levers!$G28-Levers!F28)</f>
        <v>10.522146696464</v>
      </c>
      <c r="H28" s="11" t="n">
        <f aca="false">B28/C28</f>
        <v>2.7906976744186</v>
      </c>
      <c r="I28" s="11" t="n">
        <f aca="false">B28/D28</f>
        <v>2.79245283018868</v>
      </c>
      <c r="J28" s="11" t="n">
        <f aca="false">B28/E28</f>
        <v>1.08421052631579</v>
      </c>
      <c r="K28" s="11" t="n">
        <f aca="false">B28/F28</f>
        <v>1.24535192563081</v>
      </c>
      <c r="L28" s="11" t="n">
        <f aca="false">B28/G28</f>
        <v>1.15368354296586</v>
      </c>
      <c r="M28" s="11"/>
      <c r="N28" s="9" t="n">
        <f aca="false" t="array" ref="N28:N28">IF(AND(A28&lt;&gt;"gpt-4o-mini",INDEX(Corpus!$Q$3:$Q$60,MATCH(A28,Corpus!$A$3:$A$60,0))&lt;&gt;"None"),1,0)</f>
        <v>1</v>
      </c>
      <c r="O28" s="5" t="n">
        <f aca="false">EXP(Levers!$G28-Levers!$B28-Levers!$C28)</f>
        <v>1.55773082363699</v>
      </c>
      <c r="P28" s="5" t="n">
        <f aca="false">EXP(Levers!$G28-Levers!$B28-Levers!$C28-Levers!$E28)</f>
        <v>1.25083584132088</v>
      </c>
      <c r="Q28" s="5" t="n">
        <f aca="false">EXP(Levers!$G28-Levers!$B28-Levers!$C28-Levers!$E28-Levers!$F28)</f>
        <v>1.08421052631579</v>
      </c>
      <c r="R28" s="5" t="n">
        <f aca="false">EXP(Levers!$G28-Levers!$B28-Levers!$C28-Levers!$E28-Levers!$F28-Levers!$D28)</f>
        <v>1</v>
      </c>
    </row>
    <row r="29" s="1" customFormat="true" ht="15.75" hidden="false" customHeight="true" outlineLevel="0" collapsed="false">
      <c r="A29" s="11" t="str">
        <f aca="false">Levers!A29</f>
        <v>gpt-5.5 (minimal)</v>
      </c>
      <c r="B29" s="11" t="n">
        <f aca="false">Levers!H29</f>
        <v>12.2589505268796</v>
      </c>
      <c r="C29" s="11" t="n">
        <f aca="false">EXP(Levers!$G29-Levers!B29)</f>
        <v>4.39279060546518</v>
      </c>
      <c r="D29" s="11" t="n">
        <f aca="false">EXP(Levers!$G29-Levers!C29)</f>
        <v>4.39002958057174</v>
      </c>
      <c r="E29" s="11" t="n">
        <f aca="false">EXP(Levers!$G29-Levers!D29)</f>
        <v>11.3067990296462</v>
      </c>
      <c r="F29" s="11" t="n">
        <f aca="false">EXP(Levers!$G29-Levers!E29)</f>
        <v>9.79989553208304</v>
      </c>
      <c r="G29" s="11" t="n">
        <f aca="false">EXP(Levers!$G29-Levers!F29)</f>
        <v>10.5692483292009</v>
      </c>
      <c r="H29" s="11" t="n">
        <f aca="false">B29/C29</f>
        <v>2.79069767441861</v>
      </c>
      <c r="I29" s="11" t="n">
        <f aca="false">B29/D29</f>
        <v>2.79245283018868</v>
      </c>
      <c r="J29" s="11" t="n">
        <f aca="false">B29/E29</f>
        <v>1.08421052631579</v>
      </c>
      <c r="K29" s="11" t="n">
        <f aca="false">B29/F29</f>
        <v>1.25092665393687</v>
      </c>
      <c r="L29" s="11" t="n">
        <f aca="false">B29/G29</f>
        <v>1.15986966575573</v>
      </c>
      <c r="M29" s="11"/>
      <c r="N29" s="9" t="n">
        <f aca="false" t="array" ref="N29:N29">IF(AND(A29&lt;&gt;"gpt-4o-mini",INDEX(Corpus!$Q$3:$Q$60,MATCH(A29,Corpus!$A$3:$A$60,0))&lt;&gt;"None"),1,0)</f>
        <v>1</v>
      </c>
      <c r="O29" s="5" t="n">
        <f aca="false">EXP(Levers!$G29-Levers!$B29-Levers!$C29)</f>
        <v>1.57309393303821</v>
      </c>
      <c r="P29" s="5" t="n">
        <f aca="false">EXP(Levers!$G29-Levers!$B29-Levers!$C29-Levers!$E29)</f>
        <v>1.25754290076674</v>
      </c>
      <c r="Q29" s="5" t="n">
        <f aca="false">EXP(Levers!$G29-Levers!$B29-Levers!$C29-Levers!$E29-Levers!$F29)</f>
        <v>1.08421052631579</v>
      </c>
      <c r="R29" s="5" t="n">
        <f aca="false">EXP(Levers!$G29-Levers!$B29-Levers!$C29-Levers!$E29-Levers!$F29-Levers!$D29)</f>
        <v>1</v>
      </c>
    </row>
    <row r="30" s="1" customFormat="true" ht="15.75" hidden="false" customHeight="true" outlineLevel="0" collapsed="false">
      <c r="A30" s="11" t="str">
        <f aca="false">Levers!A30</f>
        <v>gpt-5.5 (low)</v>
      </c>
      <c r="B30" s="11" t="n">
        <f aca="false">Levers!H30</f>
        <v>10.9374307259003</v>
      </c>
      <c r="C30" s="11" t="n">
        <f aca="false">EXP(Levers!$G30-Levers!B30)</f>
        <v>3.91924601011429</v>
      </c>
      <c r="D30" s="11" t="n">
        <f aca="false">EXP(Levers!$G30-Levers!C30)</f>
        <v>3.91678262481566</v>
      </c>
      <c r="E30" s="11" t="n">
        <f aca="false">EXP(Levers!$G30-Levers!D30)</f>
        <v>10.0879215433061</v>
      </c>
      <c r="F30" s="11" t="n">
        <f aca="false">EXP(Levers!$G30-Levers!E30)</f>
        <v>8.7665831777977</v>
      </c>
      <c r="G30" s="11" t="n">
        <f aca="false">EXP(Levers!$G30-Levers!F30)</f>
        <v>10.5413737869358</v>
      </c>
      <c r="H30" s="11" t="n">
        <f aca="false">B30/C30</f>
        <v>2.7906976744186</v>
      </c>
      <c r="I30" s="11" t="n">
        <f aca="false">B30/D30</f>
        <v>2.79245283018868</v>
      </c>
      <c r="J30" s="11" t="n">
        <f aca="false">B30/E30</f>
        <v>1.08421052631579</v>
      </c>
      <c r="K30" s="11" t="n">
        <f aca="false">B30/F30</f>
        <v>1.24762755386848</v>
      </c>
      <c r="L30" s="11" t="n">
        <f aca="false">B30/G30</f>
        <v>1.03757166257166</v>
      </c>
      <c r="M30" s="11"/>
      <c r="N30" s="9" t="n">
        <f aca="false" t="array" ref="N30:N30">IF(AND(A30&lt;&gt;"gpt-4o-mini",INDEX(Corpus!$Q$3:$Q$60,MATCH(A30,Corpus!$A$3:$A$60,0))&lt;&gt;"None"),1,0)</f>
        <v>1</v>
      </c>
      <c r="O30" s="5" t="n">
        <f aca="false">EXP(Levers!$G30-Levers!$B30-Levers!$C30)</f>
        <v>1.40351377389228</v>
      </c>
      <c r="P30" s="5" t="n">
        <f aca="false">EXP(Levers!$G30-Levers!$B30-Levers!$C30-Levers!$E30)</f>
        <v>1.12494611836717</v>
      </c>
      <c r="Q30" s="5" t="n">
        <f aca="false">EXP(Levers!$G30-Levers!$B30-Levers!$C30-Levers!$E30-Levers!$F30)</f>
        <v>1.08421052631579</v>
      </c>
      <c r="R30" s="5" t="n">
        <f aca="false">EXP(Levers!$G30-Levers!$B30-Levers!$C30-Levers!$E30-Levers!$F30-Levers!$D30)</f>
        <v>1</v>
      </c>
    </row>
    <row r="31" s="1" customFormat="true" ht="15.75" hidden="false" customHeight="true" outlineLevel="0" collapsed="false">
      <c r="A31" s="11" t="str">
        <f aca="false">Levers!A31</f>
        <v>gpt-5.5 (medium)</v>
      </c>
      <c r="B31" s="11" t="n">
        <f aca="false">Levers!H31</f>
        <v>12.5841416537109</v>
      </c>
      <c r="C31" s="11" t="n">
        <f aca="false">EXP(Levers!$G31-Levers!B31)</f>
        <v>4.50931742591307</v>
      </c>
      <c r="D31" s="11" t="n">
        <f aca="false">EXP(Levers!$G31-Levers!C31)</f>
        <v>4.50648315977485</v>
      </c>
      <c r="E31" s="11" t="n">
        <f aca="false">EXP(Levers!$G31-Levers!D31)</f>
        <v>11.6067325932285</v>
      </c>
      <c r="F31" s="11" t="n">
        <f aca="false">EXP(Levers!$G31-Levers!E31)</f>
        <v>10.0586597329788</v>
      </c>
      <c r="G31" s="11" t="n">
        <f aca="false">EXP(Levers!$G31-Levers!F31)</f>
        <v>10.5705050248296</v>
      </c>
      <c r="H31" s="11" t="n">
        <f aca="false">B31/C31</f>
        <v>2.79069767441861</v>
      </c>
      <c r="I31" s="11" t="n">
        <f aca="false">B31/D31</f>
        <v>2.79245283018868</v>
      </c>
      <c r="J31" s="11" t="n">
        <f aca="false">B31/E31</f>
        <v>1.08421052631579</v>
      </c>
      <c r="K31" s="11" t="n">
        <f aca="false">B31/F31</f>
        <v>1.25107539053656</v>
      </c>
      <c r="L31" s="11" t="n">
        <f aca="false">B31/G31</f>
        <v>1.19049578276075</v>
      </c>
      <c r="M31" s="11"/>
      <c r="N31" s="9" t="n">
        <f aca="false" t="array" ref="N31:N31">IF(AND(A31&lt;&gt;"gpt-4o-mini",INDEX(Corpus!$Q$3:$Q$60,MATCH(A31,Corpus!$A$3:$A$60,0))&lt;&gt;"None"),1,0)</f>
        <v>1</v>
      </c>
      <c r="O31" s="5" t="n">
        <f aca="false">EXP(Levers!$G31-Levers!$B31-Levers!$C31)</f>
        <v>1.61482313225265</v>
      </c>
      <c r="P31" s="5" t="n">
        <f aca="false">EXP(Levers!$G31-Levers!$B31-Levers!$C31-Levers!$E31)</f>
        <v>1.29074805920376</v>
      </c>
      <c r="Q31" s="5" t="n">
        <f aca="false">EXP(Levers!$G31-Levers!$B31-Levers!$C31-Levers!$E31-Levers!$F31)</f>
        <v>1.08421052631579</v>
      </c>
      <c r="R31" s="5" t="n">
        <f aca="false">EXP(Levers!$G31-Levers!$B31-Levers!$C31-Levers!$E31-Levers!$F31-Levers!$D31)</f>
        <v>1</v>
      </c>
    </row>
    <row r="32" s="1" customFormat="true" ht="15.75" hidden="false" customHeight="true" outlineLevel="0" collapsed="false">
      <c r="A32" s="11" t="str">
        <f aca="false">Levers!A32</f>
        <v>gpt-5.5 (high)</v>
      </c>
      <c r="B32" s="11" t="n">
        <f aca="false">Levers!H32</f>
        <v>10.9488957953331</v>
      </c>
      <c r="C32" s="11" t="n">
        <f aca="false">EXP(Levers!$G32-Levers!B32)</f>
        <v>3.92335432666103</v>
      </c>
      <c r="D32" s="11" t="n">
        <f aca="false">EXP(Levers!$G32-Levers!C32)</f>
        <v>3.92088835913955</v>
      </c>
      <c r="E32" s="11" t="n">
        <f aca="false">EXP(Levers!$G32-Levers!D32)</f>
        <v>10.0984961219092</v>
      </c>
      <c r="F32" s="11" t="n">
        <f aca="false">EXP(Levers!$G32-Levers!E32)</f>
        <v>8.77666800020352</v>
      </c>
      <c r="G32" s="11" t="n">
        <f aca="false">EXP(Levers!$G32-Levers!F32)</f>
        <v>10.5402984401513</v>
      </c>
      <c r="H32" s="11" t="n">
        <f aca="false">B32/C32</f>
        <v>2.7906976744186</v>
      </c>
      <c r="I32" s="11" t="n">
        <f aca="false">B32/D32</f>
        <v>2.79245283018868</v>
      </c>
      <c r="J32" s="11" t="n">
        <f aca="false">B32/E32</f>
        <v>1.08421052631579</v>
      </c>
      <c r="K32" s="11" t="n">
        <f aca="false">B32/F32</f>
        <v>1.24750028086732</v>
      </c>
      <c r="L32" s="11" t="n">
        <f aca="false">B32/G32</f>
        <v>1.03876525484566</v>
      </c>
      <c r="M32" s="11"/>
      <c r="N32" s="9" t="n">
        <f aca="false" t="array" ref="N32:N32">IF(AND(A32&lt;&gt;"gpt-4o-mini",INDEX(Corpus!$Q$3:$Q$60,MATCH(A32,Corpus!$A$3:$A$60,0))&lt;&gt;"None"),1,0)</f>
        <v>1</v>
      </c>
      <c r="O32" s="5" t="n">
        <f aca="false">EXP(Levers!$G32-Levers!$B32-Levers!$C32)</f>
        <v>1.40498499535834</v>
      </c>
      <c r="P32" s="5" t="n">
        <f aca="false">EXP(Levers!$G32-Levers!$B32-Levers!$C32-Levers!$E32)</f>
        <v>1.12624022367476</v>
      </c>
      <c r="Q32" s="5" t="n">
        <f aca="false">EXP(Levers!$G32-Levers!$B32-Levers!$C32-Levers!$E32-Levers!$F32)</f>
        <v>1.08421052631579</v>
      </c>
      <c r="R32" s="5" t="n">
        <f aca="false">EXP(Levers!$G32-Levers!$B32-Levers!$C32-Levers!$E32-Levers!$F32-Levers!$D32)</f>
        <v>1</v>
      </c>
    </row>
    <row r="33" s="1" customFormat="true" ht="15.75" hidden="false" customHeight="true" outlineLevel="0" collapsed="false">
      <c r="A33" s="11" t="str">
        <f aca="false">Levers!A33</f>
        <v>gpt-5.5 (xhigh)</v>
      </c>
      <c r="B33" s="11" t="n">
        <f aca="false">Levers!H33</f>
        <v>11.9291597251274</v>
      </c>
      <c r="C33" s="11" t="n">
        <f aca="false">EXP(Levers!$G33-Levers!B33)</f>
        <v>4.27461556817065</v>
      </c>
      <c r="D33" s="11" t="n">
        <f aca="false">EXP(Levers!$G33-Levers!C33)</f>
        <v>4.27192882048481</v>
      </c>
      <c r="E33" s="11" t="n">
        <f aca="false">EXP(Levers!$G33-Levers!D33)</f>
        <v>11.0026230474476</v>
      </c>
      <c r="F33" s="11" t="n">
        <f aca="false">EXP(Levers!$G33-Levers!E33)</f>
        <v>9.62359634151545</v>
      </c>
      <c r="G33" s="11" t="n">
        <f aca="false">EXP(Levers!$G33-Levers!F33)</f>
        <v>10.4733281462964</v>
      </c>
      <c r="H33" s="11" t="n">
        <f aca="false">B33/C33</f>
        <v>2.79069767441861</v>
      </c>
      <c r="I33" s="11" t="n">
        <f aca="false">B33/D33</f>
        <v>2.79245283018868</v>
      </c>
      <c r="J33" s="11" t="n">
        <f aca="false">B33/E33</f>
        <v>1.08421052631579</v>
      </c>
      <c r="K33" s="11" t="n">
        <f aca="false">B33/F33</f>
        <v>1.23957399103139</v>
      </c>
      <c r="L33" s="11" t="n">
        <f aca="false">B33/G33</f>
        <v>1.13900372054568</v>
      </c>
      <c r="M33" s="11"/>
      <c r="N33" s="9" t="n">
        <f aca="false" t="array" ref="N33:N33">IF(AND(A33&lt;&gt;"gpt-4o-mini",INDEX(Corpus!$Q$3:$Q$60,MATCH(A33,Corpus!$A$3:$A$60,0))&lt;&gt;"None"),1,0)</f>
        <v>1</v>
      </c>
      <c r="O33" s="5" t="n">
        <f aca="false">EXP(Levers!$G33-Levers!$B33-Levers!$C33)</f>
        <v>1.53077449400706</v>
      </c>
      <c r="P33" s="5" t="n">
        <f aca="false">EXP(Levers!$G33-Levers!$B33-Levers!$C33-Levers!$E33)</f>
        <v>1.23491982332847</v>
      </c>
      <c r="Q33" s="5" t="n">
        <f aca="false">EXP(Levers!$G33-Levers!$B33-Levers!$C33-Levers!$E33-Levers!$F33)</f>
        <v>1.08421052631579</v>
      </c>
      <c r="R33" s="5" t="n">
        <f aca="false">EXP(Levers!$G33-Levers!$B33-Levers!$C33-Levers!$E33-Levers!$F33-Levers!$D33)</f>
        <v>1</v>
      </c>
    </row>
    <row r="34" s="1" customFormat="true" ht="15.75" hidden="false" customHeight="true" outlineLevel="0" collapsed="false">
      <c r="A34" s="11" t="str">
        <f aca="false">Levers!A34</f>
        <v>gpt-5.6-luna (minimal)</v>
      </c>
      <c r="B34" s="11" t="n">
        <f aca="false">Levers!H34</f>
        <v>11.0633144983495</v>
      </c>
      <c r="C34" s="11" t="n">
        <f aca="false">EXP(Levers!$G34-Levers!B34)</f>
        <v>3.96435436190859</v>
      </c>
      <c r="D34" s="11" t="n">
        <f aca="false">EXP(Levers!$G34-Levers!C34)</f>
        <v>3.96186262440896</v>
      </c>
      <c r="E34" s="11" t="n">
        <f aca="false">EXP(Levers!$G34-Levers!D34)</f>
        <v>10.2040279353709</v>
      </c>
      <c r="F34" s="11" t="n">
        <f aca="false">EXP(Levers!$G34-Levers!E34)</f>
        <v>8.76533500835441</v>
      </c>
      <c r="G34" s="11" t="n">
        <f aca="false">EXP(Levers!$G34-Levers!F34)</f>
        <v>10.6642175142953</v>
      </c>
      <c r="H34" s="11" t="n">
        <f aca="false">B34/C34</f>
        <v>2.7906976744186</v>
      </c>
      <c r="I34" s="11" t="n">
        <f aca="false">B34/D34</f>
        <v>2.79245283018868</v>
      </c>
      <c r="J34" s="11" t="n">
        <f aca="false">B34/E34</f>
        <v>1.08421052631579</v>
      </c>
      <c r="K34" s="11" t="n">
        <f aca="false">B34/F34</f>
        <v>1.2621667612025</v>
      </c>
      <c r="L34" s="11" t="n">
        <f aca="false">B34/G34</f>
        <v>1.03742393509128</v>
      </c>
      <c r="M34" s="11"/>
      <c r="N34" s="9" t="n">
        <f aca="false" t="array" ref="N34:N34">IF(AND(A34&lt;&gt;"gpt-4o-mini",INDEX(Corpus!$Q$3:$Q$60,MATCH(A34,Corpus!$A$3:$A$60,0))&lt;&gt;"None"),1,0)</f>
        <v>1</v>
      </c>
      <c r="O34" s="5" t="n">
        <f aca="false">EXP(Levers!$G34-Levers!$B34-Levers!$C34)</f>
        <v>1.41966744041321</v>
      </c>
      <c r="P34" s="5" t="n">
        <f aca="false">EXP(Levers!$G34-Levers!$B34-Levers!$C34-Levers!$E34)</f>
        <v>1.12478595067791</v>
      </c>
      <c r="Q34" s="5" t="n">
        <f aca="false">EXP(Levers!$G34-Levers!$B34-Levers!$C34-Levers!$E34-Levers!$F34)</f>
        <v>1.08421052631579</v>
      </c>
      <c r="R34" s="5" t="n">
        <f aca="false">EXP(Levers!$G34-Levers!$B34-Levers!$C34-Levers!$E34-Levers!$F34-Levers!$D34)</f>
        <v>1</v>
      </c>
    </row>
    <row r="35" s="1" customFormat="true" ht="15.75" hidden="false" customHeight="true" outlineLevel="0" collapsed="false">
      <c r="A35" s="11" t="str">
        <f aca="false">Levers!A35</f>
        <v>gpt-5.6-luna (low)</v>
      </c>
      <c r="B35" s="11" t="n">
        <f aca="false">Levers!H35</f>
        <v>10.9006188655751</v>
      </c>
      <c r="C35" s="11" t="n">
        <f aca="false">EXP(Levers!$G35-Levers!B35)</f>
        <v>3.90605509349774</v>
      </c>
      <c r="D35" s="11" t="n">
        <f aca="false">EXP(Levers!$G35-Levers!C35)</f>
        <v>3.90359999915865</v>
      </c>
      <c r="E35" s="11" t="n">
        <f aca="false">EXP(Levers!$G35-Levers!D35)</f>
        <v>10.0539688565984</v>
      </c>
      <c r="F35" s="11" t="n">
        <f aca="false">EXP(Levers!$G35-Levers!E35)</f>
        <v>8.67168196239032</v>
      </c>
      <c r="G35" s="11" t="n">
        <f aca="false">EXP(Levers!$G35-Levers!F35)</f>
        <v>10.6208694148178</v>
      </c>
      <c r="H35" s="11" t="n">
        <f aca="false">B35/C35</f>
        <v>2.79069767441861</v>
      </c>
      <c r="I35" s="11" t="n">
        <f aca="false">B35/D35</f>
        <v>2.79245283018868</v>
      </c>
      <c r="J35" s="11" t="n">
        <f aca="false">B35/E35</f>
        <v>1.08421052631579</v>
      </c>
      <c r="K35" s="11" t="n">
        <f aca="false">B35/F35</f>
        <v>1.25703628348593</v>
      </c>
      <c r="L35" s="11" t="n">
        <f aca="false">B35/G35</f>
        <v>1.02633959987936</v>
      </c>
      <c r="M35" s="11"/>
      <c r="N35" s="9" t="n">
        <f aca="false" t="array" ref="N35:N35">IF(AND(A35&lt;&gt;"gpt-4o-mini",INDEX(Corpus!$Q$3:$Q$60,MATCH(A35,Corpus!$A$3:$A$60,0))&lt;&gt;"None"),1,0)</f>
        <v>1</v>
      </c>
      <c r="O35" s="5" t="n">
        <f aca="false">EXP(Levers!$G35-Levers!$B35-Levers!$C35)</f>
        <v>1.39878999969851</v>
      </c>
      <c r="P35" s="5" t="n">
        <f aca="false">EXP(Levers!$G35-Levers!$B35-Levers!$C35-Levers!$E35)</f>
        <v>1.11276819776394</v>
      </c>
      <c r="Q35" s="5" t="n">
        <f aca="false">EXP(Levers!$G35-Levers!$B35-Levers!$C35-Levers!$E35-Levers!$F35)</f>
        <v>1.08421052631579</v>
      </c>
      <c r="R35" s="5" t="n">
        <f aca="false">EXP(Levers!$G35-Levers!$B35-Levers!$C35-Levers!$E35-Levers!$F35-Levers!$D35)</f>
        <v>1</v>
      </c>
    </row>
    <row r="36" s="1" customFormat="true" ht="15.75" hidden="false" customHeight="true" outlineLevel="0" collapsed="false">
      <c r="A36" s="11" t="str">
        <f aca="false">Levers!A36</f>
        <v>gpt-5.6-luna (medium)</v>
      </c>
      <c r="B36" s="11" t="n">
        <f aca="false">Levers!H36</f>
        <v>10.9193489983185</v>
      </c>
      <c r="C36" s="11" t="n">
        <f aca="false">EXP(Levers!$G36-Levers!B36)</f>
        <v>3.91276672439745</v>
      </c>
      <c r="D36" s="11" t="n">
        <f aca="false">EXP(Levers!$G36-Levers!C36)</f>
        <v>3.91030741155999</v>
      </c>
      <c r="E36" s="11" t="n">
        <f aca="false">EXP(Levers!$G36-Levers!D36)</f>
        <v>10.07124422175</v>
      </c>
      <c r="F36" s="11" t="n">
        <f aca="false">EXP(Levers!$G36-Levers!E36)</f>
        <v>8.68537318076098</v>
      </c>
      <c r="G36" s="11" t="n">
        <f aca="false">EXP(Levers!$G36-Levers!F36)</f>
        <v>10.6223478521545</v>
      </c>
      <c r="H36" s="11" t="n">
        <f aca="false">B36/C36</f>
        <v>2.7906976744186</v>
      </c>
      <c r="I36" s="11" t="n">
        <f aca="false">B36/D36</f>
        <v>2.79245283018868</v>
      </c>
      <c r="J36" s="11" t="n">
        <f aca="false">B36/E36</f>
        <v>1.08421052631579</v>
      </c>
      <c r="K36" s="11" t="n">
        <f aca="false">B36/F36</f>
        <v>1.25721126439403</v>
      </c>
      <c r="L36" s="11" t="n">
        <f aca="false">B36/G36</f>
        <v>1.02796002826284</v>
      </c>
      <c r="M36" s="11"/>
      <c r="N36" s="9" t="n">
        <f aca="false" t="array" ref="N36:N36">IF(AND(A36&lt;&gt;"gpt-4o-mini",INDEX(Corpus!$Q$3:$Q$60,MATCH(A36,Corpus!$A$3:$A$60,0))&lt;&gt;"None"),1,0)</f>
        <v>1</v>
      </c>
      <c r="O36" s="5" t="n">
        <f aca="false">EXP(Levers!$G36-Levers!$B36-Levers!$C36)</f>
        <v>1.40119348914233</v>
      </c>
      <c r="P36" s="5" t="n">
        <f aca="false">EXP(Levers!$G36-Levers!$B36-Levers!$C36-Levers!$E36)</f>
        <v>1.11452508327445</v>
      </c>
      <c r="Q36" s="5" t="n">
        <f aca="false">EXP(Levers!$G36-Levers!$B36-Levers!$C36-Levers!$E36-Levers!$F36)</f>
        <v>1.08421052631579</v>
      </c>
      <c r="R36" s="5" t="n">
        <f aca="false">EXP(Levers!$G36-Levers!$B36-Levers!$C36-Levers!$E36-Levers!$F36-Levers!$D36)</f>
        <v>1</v>
      </c>
    </row>
    <row r="37" s="1" customFormat="true" ht="15.75" hidden="false" customHeight="true" outlineLevel="0" collapsed="false">
      <c r="A37" s="11" t="str">
        <f aca="false">Levers!A37</f>
        <v>gpt-5.6-luna (high)</v>
      </c>
      <c r="B37" s="11" t="n">
        <f aca="false">Levers!H37</f>
        <v>11.8242991686509</v>
      </c>
      <c r="C37" s="11" t="n">
        <f aca="false">EXP(Levers!$G37-Levers!B37)</f>
        <v>4.23704053543325</v>
      </c>
      <c r="D37" s="11" t="n">
        <f aca="false">EXP(Levers!$G37-Levers!C37)</f>
        <v>4.23437740498986</v>
      </c>
      <c r="E37" s="11" t="n">
        <f aca="false">EXP(Levers!$G37-Levers!D37)</f>
        <v>10.905907000212</v>
      </c>
      <c r="F37" s="11" t="n">
        <f aca="false">EXP(Levers!$G37-Levers!E37)</f>
        <v>9.42738201799156</v>
      </c>
      <c r="G37" s="11" t="n">
        <f aca="false">EXP(Levers!$G37-Levers!F37)</f>
        <v>10.5973324546188</v>
      </c>
      <c r="H37" s="11" t="n">
        <f aca="false">B37/C37</f>
        <v>2.79069767441861</v>
      </c>
      <c r="I37" s="11" t="n">
        <f aca="false">B37/D37</f>
        <v>2.79245283018868</v>
      </c>
      <c r="J37" s="11" t="n">
        <f aca="false">B37/E37</f>
        <v>1.08421052631579</v>
      </c>
      <c r="K37" s="11" t="n">
        <f aca="false">B37/F37</f>
        <v>1.25425055928412</v>
      </c>
      <c r="L37" s="11" t="n">
        <f aca="false">B37/G37</f>
        <v>1.11578071361698</v>
      </c>
      <c r="M37" s="11"/>
      <c r="N37" s="9" t="n">
        <f aca="false" t="array" ref="N37:N37">IF(AND(A37&lt;&gt;"gpt-4o-mini",INDEX(Corpus!$Q$3:$Q$60,MATCH(A37,Corpus!$A$3:$A$60,0))&lt;&gt;"None"),1,0)</f>
        <v>1</v>
      </c>
      <c r="O37" s="5" t="n">
        <f aca="false">EXP(Levers!$G37-Levers!$B37-Levers!$C37)</f>
        <v>1.51731857012137</v>
      </c>
      <c r="P37" s="5" t="n">
        <f aca="false">EXP(Levers!$G37-Levers!$B37-Levers!$C37-Levers!$E37)</f>
        <v>1.20974119476367</v>
      </c>
      <c r="Q37" s="5" t="n">
        <f aca="false">EXP(Levers!$G37-Levers!$B37-Levers!$C37-Levers!$E37-Levers!$F37)</f>
        <v>1.08421052631579</v>
      </c>
      <c r="R37" s="5" t="n">
        <f aca="false">EXP(Levers!$G37-Levers!$B37-Levers!$C37-Levers!$E37-Levers!$F37-Levers!$D37)</f>
        <v>1</v>
      </c>
    </row>
    <row r="38" s="1" customFormat="true" ht="15.75" hidden="false" customHeight="true" outlineLevel="0" collapsed="false">
      <c r="A38" s="11" t="str">
        <f aca="false">Levers!A38</f>
        <v>gpt-5.6-luna (xhigh)</v>
      </c>
      <c r="B38" s="11" t="n">
        <f aca="false">Levers!H38</f>
        <v>11.3510697838598</v>
      </c>
      <c r="C38" s="11" t="n">
        <f aca="false">EXP(Levers!$G38-Levers!B38)</f>
        <v>4.06746667254976</v>
      </c>
      <c r="D38" s="11" t="n">
        <f aca="false">EXP(Levers!$G38-Levers!C38)</f>
        <v>4.06491012530115</v>
      </c>
      <c r="E38" s="11" t="n">
        <f aca="false">EXP(Levers!$G38-Levers!D38)</f>
        <v>10.469433295793</v>
      </c>
      <c r="F38" s="11" t="n">
        <f aca="false">EXP(Levers!$G38-Levers!E38)</f>
        <v>9.04770668524118</v>
      </c>
      <c r="G38" s="11" t="n">
        <f aca="false">EXP(Levers!$G38-Levers!F38)</f>
        <v>10.6001140113325</v>
      </c>
      <c r="H38" s="11" t="n">
        <f aca="false">B38/C38</f>
        <v>2.79069767441861</v>
      </c>
      <c r="I38" s="11" t="n">
        <f aca="false">B38/D38</f>
        <v>2.79245283018868</v>
      </c>
      <c r="J38" s="11" t="n">
        <f aca="false">B38/E38</f>
        <v>1.08421052631579</v>
      </c>
      <c r="K38" s="11" t="n">
        <f aca="false">B38/F38</f>
        <v>1.254579771289</v>
      </c>
      <c r="L38" s="11" t="n">
        <f aca="false">B38/G38</f>
        <v>1.07084412221647</v>
      </c>
      <c r="M38" s="11"/>
      <c r="N38" s="9" t="n">
        <f aca="false" t="array" ref="N38:N38">IF(AND(A38&lt;&gt;"gpt-4o-mini",INDEX(Corpus!$Q$3:$Q$60,MATCH(A38,Corpus!$A$3:$A$60,0))&lt;&gt;"None"),1,0)</f>
        <v>1</v>
      </c>
      <c r="O38" s="5" t="n">
        <f aca="false">EXP(Levers!$G38-Levers!$B38-Levers!$C38)</f>
        <v>1.45659279489958</v>
      </c>
      <c r="P38" s="5" t="n">
        <f aca="false">EXP(Levers!$G38-Levers!$B38-Levers!$C38-Levers!$E38)</f>
        <v>1.16102046935049</v>
      </c>
      <c r="Q38" s="5" t="n">
        <f aca="false">EXP(Levers!$G38-Levers!$B38-Levers!$C38-Levers!$E38-Levers!$F38)</f>
        <v>1.08421052631579</v>
      </c>
      <c r="R38" s="5" t="n">
        <f aca="false">EXP(Levers!$G38-Levers!$B38-Levers!$C38-Levers!$E38-Levers!$F38-Levers!$D38)</f>
        <v>1</v>
      </c>
    </row>
    <row r="39" s="1" customFormat="true" ht="15.75" hidden="false" customHeight="true" outlineLevel="0" collapsed="false">
      <c r="A39" s="11" t="str">
        <f aca="false">Levers!A39</f>
        <v>gpt-5.6-sol (minimal)</v>
      </c>
      <c r="B39" s="11" t="n">
        <f aca="false">Levers!H39</f>
        <v>10.767984750766</v>
      </c>
      <c r="C39" s="11" t="n">
        <f aca="false">EXP(Levers!$G39-Levers!B39)</f>
        <v>3.85852786902447</v>
      </c>
      <c r="D39" s="11" t="n">
        <f aca="false">EXP(Levers!$G39-Levers!C39)</f>
        <v>3.85610264723376</v>
      </c>
      <c r="E39" s="11" t="n">
        <f aca="false">EXP(Levers!$G39-Levers!D39)</f>
        <v>9.93163642060939</v>
      </c>
      <c r="F39" s="11" t="n">
        <f aca="false">EXP(Levers!$G39-Levers!E39)</f>
        <v>8.69969033851901</v>
      </c>
      <c r="G39" s="11" t="n">
        <f aca="false">EXP(Levers!$G39-Levers!F39)</f>
        <v>10.4578616745117</v>
      </c>
      <c r="H39" s="11" t="n">
        <f aca="false">B39/C39</f>
        <v>2.79069767441861</v>
      </c>
      <c r="I39" s="11" t="n">
        <f aca="false">B39/D39</f>
        <v>2.79245283018868</v>
      </c>
      <c r="J39" s="11" t="n">
        <f aca="false">B39/E39</f>
        <v>1.08421052631579</v>
      </c>
      <c r="K39" s="11" t="n">
        <f aca="false">B39/F39</f>
        <v>1.2377434519812</v>
      </c>
      <c r="L39" s="11" t="n">
        <f aca="false">B39/G39</f>
        <v>1.02965453989606</v>
      </c>
      <c r="M39" s="11"/>
      <c r="N39" s="9" t="n">
        <f aca="false" t="array" ref="N39:N39">IF(AND(A39&lt;&gt;"gpt-4o-mini",INDEX(Corpus!$Q$3:$Q$60,MATCH(A39,Corpus!$A$3:$A$60,0))&lt;&gt;"None"),1,0)</f>
        <v>1</v>
      </c>
      <c r="O39" s="5" t="n">
        <f aca="false">EXP(Levers!$G39-Levers!$B39-Levers!$C39)</f>
        <v>1.38177011525876</v>
      </c>
      <c r="P39" s="5" t="n">
        <f aca="false">EXP(Levers!$G39-Levers!$B39-Levers!$C39-Levers!$E39)</f>
        <v>1.11636229062415</v>
      </c>
      <c r="Q39" s="5" t="n">
        <f aca="false">EXP(Levers!$G39-Levers!$B39-Levers!$C39-Levers!$E39-Levers!$F39)</f>
        <v>1.08421052631579</v>
      </c>
      <c r="R39" s="5" t="n">
        <f aca="false">EXP(Levers!$G39-Levers!$B39-Levers!$C39-Levers!$E39-Levers!$F39-Levers!$D39)</f>
        <v>1</v>
      </c>
    </row>
    <row r="40" s="1" customFormat="true" ht="15.75" hidden="false" customHeight="true" outlineLevel="0" collapsed="false">
      <c r="A40" s="11" t="str">
        <f aca="false">Levers!A40</f>
        <v>gpt-5.6-sol (low)</v>
      </c>
      <c r="B40" s="11" t="n">
        <f aca="false">Levers!H40</f>
        <v>10.8631165697576</v>
      </c>
      <c r="C40" s="11" t="n">
        <f aca="false">EXP(Levers!$G40-Levers!B40)</f>
        <v>3.8926167708298</v>
      </c>
      <c r="D40" s="11" t="n">
        <f aca="false">EXP(Levers!$G40-Levers!C40)</f>
        <v>3.89017012295373</v>
      </c>
      <c r="E40" s="11" t="n">
        <f aca="false">EXP(Levers!$G40-Levers!D40)</f>
        <v>10.019379360456</v>
      </c>
      <c r="F40" s="11" t="n">
        <f aca="false">EXP(Levers!$G40-Levers!E40)</f>
        <v>8.66218167031544</v>
      </c>
      <c r="G40" s="11" t="n">
        <f aca="false">EXP(Levers!$G40-Levers!F40)</f>
        <v>10.595937981663</v>
      </c>
      <c r="H40" s="11" t="n">
        <f aca="false">B40/C40</f>
        <v>2.79069767441861</v>
      </c>
      <c r="I40" s="11" t="n">
        <f aca="false">B40/D40</f>
        <v>2.79245283018868</v>
      </c>
      <c r="J40" s="11" t="n">
        <f aca="false">B40/E40</f>
        <v>1.08421052631579</v>
      </c>
      <c r="K40" s="11" t="n">
        <f aca="false">B40/F40</f>
        <v>1.25408551600627</v>
      </c>
      <c r="L40" s="11" t="n">
        <f aca="false">B40/G40</f>
        <v>1.02521518987342</v>
      </c>
      <c r="M40" s="11"/>
      <c r="N40" s="9" t="n">
        <f aca="false" t="array" ref="N40:N40">IF(AND(A40&lt;&gt;"gpt-4o-mini",INDEX(Corpus!$Q$3:$Q$60,MATCH(A40,Corpus!$A$3:$A$60,0))&lt;&gt;"None"),1,0)</f>
        <v>1</v>
      </c>
      <c r="O40" s="5" t="n">
        <f aca="false">EXP(Levers!$G40-Levers!$B40-Levers!$C40)</f>
        <v>1.39397762739175</v>
      </c>
      <c r="P40" s="5" t="n">
        <f aca="false">EXP(Levers!$G40-Levers!$B40-Levers!$C40-Levers!$E40)</f>
        <v>1.1115491005996</v>
      </c>
      <c r="Q40" s="5" t="n">
        <f aca="false">EXP(Levers!$G40-Levers!$B40-Levers!$C40-Levers!$E40-Levers!$F40)</f>
        <v>1.08421052631579</v>
      </c>
      <c r="R40" s="5" t="n">
        <f aca="false">EXP(Levers!$G40-Levers!$B40-Levers!$C40-Levers!$E40-Levers!$F40-Levers!$D40)</f>
        <v>1</v>
      </c>
    </row>
    <row r="41" s="1" customFormat="true" ht="15.75" hidden="false" customHeight="true" outlineLevel="0" collapsed="false">
      <c r="A41" s="11" t="str">
        <f aca="false">Levers!A41</f>
        <v>gpt-5.6-sol (medium)</v>
      </c>
      <c r="B41" s="11" t="n">
        <f aca="false">Levers!H41</f>
        <v>10.9368796490469</v>
      </c>
      <c r="C41" s="11" t="n">
        <f aca="false">EXP(Levers!$G41-Levers!B41)</f>
        <v>3.91904854090846</v>
      </c>
      <c r="D41" s="11" t="n">
        <f aca="false">EXP(Levers!$G41-Levers!C41)</f>
        <v>3.91658527972624</v>
      </c>
      <c r="E41" s="11" t="n">
        <f aca="false">EXP(Levers!$G41-Levers!D41)</f>
        <v>10.0874132685384</v>
      </c>
      <c r="F41" s="11" t="n">
        <f aca="false">EXP(Levers!$G41-Levers!E41)</f>
        <v>8.70451810087942</v>
      </c>
      <c r="G41" s="11" t="n">
        <f aca="false">EXP(Levers!$G41-Levers!F41)</f>
        <v>10.6160011292635</v>
      </c>
      <c r="H41" s="11" t="n">
        <f aca="false">B41/C41</f>
        <v>2.7906976744186</v>
      </c>
      <c r="I41" s="11" t="n">
        <f aca="false">B41/D41</f>
        <v>2.79245283018868</v>
      </c>
      <c r="J41" s="11" t="n">
        <f aca="false">B41/E41</f>
        <v>1.08421052631579</v>
      </c>
      <c r="K41" s="11" t="n">
        <f aca="false">B41/F41</f>
        <v>1.25646009604391</v>
      </c>
      <c r="L41" s="11" t="n">
        <f aca="false">B41/G41</f>
        <v>1.03022593120293</v>
      </c>
      <c r="M41" s="11"/>
      <c r="N41" s="9" t="n">
        <f aca="false" t="array" ref="N41:N41">IF(AND(A41&lt;&gt;"gpt-4o-mini",INDEX(Corpus!$Q$3:$Q$60,MATCH(A41,Corpus!$A$3:$A$60,0))&lt;&gt;"None"),1,0)</f>
        <v>1</v>
      </c>
      <c r="O41" s="5" t="n">
        <f aca="false">EXP(Levers!$G41-Levers!$B41-Levers!$C41)</f>
        <v>1.40344305856857</v>
      </c>
      <c r="P41" s="5" t="n">
        <f aca="false">EXP(Levers!$G41-Levers!$B41-Levers!$C41-Levers!$E41)</f>
        <v>1.1169817990937</v>
      </c>
      <c r="Q41" s="5" t="n">
        <f aca="false">EXP(Levers!$G41-Levers!$B41-Levers!$C41-Levers!$E41-Levers!$F41)</f>
        <v>1.08421052631579</v>
      </c>
      <c r="R41" s="5" t="n">
        <f aca="false">EXP(Levers!$G41-Levers!$B41-Levers!$C41-Levers!$E41-Levers!$F41-Levers!$D41)</f>
        <v>1</v>
      </c>
    </row>
    <row r="42" s="1" customFormat="true" ht="15.75" hidden="false" customHeight="true" outlineLevel="0" collapsed="false">
      <c r="A42" s="11" t="str">
        <f aca="false">Levers!A42</f>
        <v>gpt-5.6-sol (high)</v>
      </c>
      <c r="B42" s="11" t="n">
        <f aca="false">Levers!H42</f>
        <v>10.8505167559399</v>
      </c>
      <c r="C42" s="11" t="n">
        <f aca="false">EXP(Levers!$G42-Levers!B42)</f>
        <v>3.88810183754514</v>
      </c>
      <c r="D42" s="11" t="n">
        <f aca="false">EXP(Levers!$G42-Levers!C42)</f>
        <v>3.88565802746497</v>
      </c>
      <c r="E42" s="11" t="n">
        <f aca="false">EXP(Levers!$G42-Levers!D42)</f>
        <v>10.0077581729543</v>
      </c>
      <c r="F42" s="11" t="n">
        <f aca="false">EXP(Levers!$G42-Levers!E42)</f>
        <v>8.66782467491461</v>
      </c>
      <c r="G42" s="11" t="n">
        <f aca="false">EXP(Levers!$G42-Levers!F42)</f>
        <v>10.5767577994974</v>
      </c>
      <c r="H42" s="11" t="n">
        <f aca="false">B42/C42</f>
        <v>2.7906976744186</v>
      </c>
      <c r="I42" s="11" t="n">
        <f aca="false">B42/D42</f>
        <v>2.79245283018868</v>
      </c>
      <c r="J42" s="11" t="n">
        <f aca="false">B42/E42</f>
        <v>1.08421052631579</v>
      </c>
      <c r="K42" s="11" t="n">
        <f aca="false">B42/F42</f>
        <v>1.25181543961569</v>
      </c>
      <c r="L42" s="11" t="n">
        <f aca="false">B42/G42</f>
        <v>1.02588306942753</v>
      </c>
      <c r="M42" s="11"/>
      <c r="N42" s="9" t="n">
        <f aca="false" t="array" ref="N42:N42">IF(AND(A42&lt;&gt;"gpt-4o-mini",INDEX(Corpus!$Q$3:$Q$60,MATCH(A42,Corpus!$A$3:$A$60,0))&lt;&gt;"None"),1,0)</f>
        <v>1</v>
      </c>
      <c r="O42" s="5" t="n">
        <f aca="false">EXP(Levers!$G42-Levers!$B42-Levers!$C42)</f>
        <v>1.39236079317495</v>
      </c>
      <c r="P42" s="5" t="n">
        <f aca="false">EXP(Levers!$G42-Levers!$B42-Levers!$C42-Levers!$E42)</f>
        <v>1.11227322264248</v>
      </c>
      <c r="Q42" s="5" t="n">
        <f aca="false">EXP(Levers!$G42-Levers!$B42-Levers!$C42-Levers!$E42-Levers!$F42)</f>
        <v>1.08421052631579</v>
      </c>
      <c r="R42" s="5" t="n">
        <f aca="false">EXP(Levers!$G42-Levers!$B42-Levers!$C42-Levers!$E42-Levers!$F42-Levers!$D42)</f>
        <v>1</v>
      </c>
    </row>
    <row r="43" s="1" customFormat="true" ht="15.75" hidden="false" customHeight="true" outlineLevel="0" collapsed="false">
      <c r="A43" s="11" t="str">
        <f aca="false">Levers!A43</f>
        <v>gpt-5.6-sol (xhigh)</v>
      </c>
      <c r="B43" s="11" t="n">
        <f aca="false">Levers!H43</f>
        <v>11.7021359377078</v>
      </c>
      <c r="C43" s="11" t="n">
        <f aca="false">EXP(Levers!$G43-Levers!B43)</f>
        <v>4.19326537767861</v>
      </c>
      <c r="D43" s="11" t="n">
        <f aca="false">EXP(Levers!$G43-Levers!C43)</f>
        <v>4.19062976147642</v>
      </c>
      <c r="E43" s="11" t="n">
        <f aca="false">EXP(Levers!$G43-Levers!D43)</f>
        <v>10.7932321755557</v>
      </c>
      <c r="F43" s="11" t="n">
        <f aca="false">EXP(Levers!$G43-Levers!E43)</f>
        <v>9.09046859314684</v>
      </c>
      <c r="G43" s="11" t="n">
        <f aca="false">EXP(Levers!$G43-Levers!F43)</f>
        <v>10.8765490758617</v>
      </c>
      <c r="H43" s="11" t="n">
        <f aca="false">B43/C43</f>
        <v>2.79069767441861</v>
      </c>
      <c r="I43" s="11" t="n">
        <f aca="false">B43/D43</f>
        <v>2.79245283018868</v>
      </c>
      <c r="J43" s="11" t="n">
        <f aca="false">B43/E43</f>
        <v>1.08421052631579</v>
      </c>
      <c r="K43" s="11" t="n">
        <f aca="false">B43/F43</f>
        <v>1.28729732882305</v>
      </c>
      <c r="L43" s="11" t="n">
        <f aca="false">B43/G43</f>
        <v>1.07590522104831</v>
      </c>
      <c r="M43" s="11"/>
      <c r="N43" s="9" t="n">
        <f aca="false" t="array" ref="N43:N43">IF(AND(A43&lt;&gt;"gpt-4o-mini",INDEX(Corpus!$Q$3:$Q$60,MATCH(A43,Corpus!$A$3:$A$60,0))&lt;&gt;"None"),1,0)</f>
        <v>1</v>
      </c>
      <c r="O43" s="5" t="n">
        <f aca="false">EXP(Levers!$G43-Levers!$B43-Levers!$C43)</f>
        <v>1.50164233119572</v>
      </c>
      <c r="P43" s="5" t="n">
        <f aca="false">EXP(Levers!$G43-Levers!$B43-Levers!$C43-Levers!$E43)</f>
        <v>1.1665077659787</v>
      </c>
      <c r="Q43" s="5" t="n">
        <f aca="false">EXP(Levers!$G43-Levers!$B43-Levers!$C43-Levers!$E43-Levers!$F43)</f>
        <v>1.08421052631579</v>
      </c>
      <c r="R43" s="5" t="n">
        <f aca="false">EXP(Levers!$G43-Levers!$B43-Levers!$C43-Levers!$E43-Levers!$F43-Levers!$D43)</f>
        <v>1</v>
      </c>
    </row>
    <row r="44" s="1" customFormat="true" ht="15.75" hidden="false" customHeight="true" outlineLevel="0" collapsed="false">
      <c r="A44" s="11" t="str">
        <f aca="false">Levers!A44</f>
        <v>gpt-5.6-sol (max)*</v>
      </c>
      <c r="B44" s="11" t="n">
        <f aca="false">Levers!H44</f>
        <v>11.7403089074212</v>
      </c>
      <c r="C44" s="11" t="n">
        <f aca="false">EXP(Levers!$G44-Levers!B44)</f>
        <v>4.20694402515926</v>
      </c>
      <c r="D44" s="11" t="n">
        <f aca="false">EXP(Levers!$G44-Levers!C44)</f>
        <v>4.20429981144137</v>
      </c>
      <c r="E44" s="11" t="n">
        <f aca="false">EXP(Levers!$G44-Levers!D44)</f>
        <v>10.8284402544176</v>
      </c>
      <c r="F44" s="11" t="n">
        <f aca="false">EXP(Levers!$G44-Levers!E44)</f>
        <v>9.09046859314685</v>
      </c>
      <c r="G44" s="11" t="n">
        <f aca="false">EXP(Levers!$G44-Levers!F44)</f>
        <v>10.9120289387405</v>
      </c>
      <c r="H44" s="11" t="n">
        <f aca="false">B44/C44</f>
        <v>2.7906976744186</v>
      </c>
      <c r="I44" s="11" t="n">
        <f aca="false">B44/D44</f>
        <v>2.79245283018868</v>
      </c>
      <c r="J44" s="11" t="n">
        <f aca="false">B44/E44</f>
        <v>1.08421052631579</v>
      </c>
      <c r="K44" s="11" t="n">
        <f aca="false">B44/F44</f>
        <v>1.29149655896419</v>
      </c>
      <c r="L44" s="11" t="n">
        <f aca="false">B44/G44</f>
        <v>1.07590522104831</v>
      </c>
      <c r="M44" s="11"/>
      <c r="N44" s="9" t="n">
        <f aca="false" t="array" ref="N44:N44">IF(AND(A44&lt;&gt;"gpt-4o-mini",INDEX(Corpus!$Q$3:$Q$60,MATCH(A44,Corpus!$A$3:$A$60,0))&lt;&gt;"None"),1,0)</f>
        <v>1</v>
      </c>
      <c r="O44" s="5" t="n">
        <f aca="false">EXP(Levers!$G44-Levers!$B44-Levers!$C44)</f>
        <v>1.50654076576649</v>
      </c>
      <c r="P44" s="5" t="n">
        <f aca="false">EXP(Levers!$G44-Levers!$B44-Levers!$C44-Levers!$E44)</f>
        <v>1.1665077659787</v>
      </c>
      <c r="Q44" s="5" t="n">
        <f aca="false">EXP(Levers!$G44-Levers!$B44-Levers!$C44-Levers!$E44-Levers!$F44)</f>
        <v>1.08421052631579</v>
      </c>
      <c r="R44" s="5" t="n">
        <f aca="false">EXP(Levers!$G44-Levers!$B44-Levers!$C44-Levers!$E44-Levers!$F44-Levers!$D44)</f>
        <v>1</v>
      </c>
    </row>
    <row r="45" s="1" customFormat="true" ht="15.75" hidden="false" customHeight="true" outlineLevel="0" collapsed="false">
      <c r="A45" s="11" t="str">
        <f aca="false">Levers!A45</f>
        <v>gpt-5.6-terra (minimal)</v>
      </c>
      <c r="B45" s="11" t="n">
        <f aca="false">Levers!H45</f>
        <v>11.0476220354167</v>
      </c>
      <c r="C45" s="11" t="n">
        <f aca="false">EXP(Levers!$G45-Levers!B45)</f>
        <v>3.95873122935764</v>
      </c>
      <c r="D45" s="11" t="n">
        <f aca="false">EXP(Levers!$G45-Levers!C45)</f>
        <v>3.95624302619651</v>
      </c>
      <c r="E45" s="11" t="n">
        <f aca="false">EXP(Levers!$G45-Levers!D45)</f>
        <v>10.1895543045105</v>
      </c>
      <c r="F45" s="11" t="n">
        <f aca="false">EXP(Levers!$G45-Levers!E45)</f>
        <v>8.81021657039537</v>
      </c>
      <c r="G45" s="11" t="n">
        <f aca="false">EXP(Levers!$G45-Levers!F45)</f>
        <v>10.5948418667333</v>
      </c>
      <c r="H45" s="11" t="n">
        <f aca="false">B45/C45</f>
        <v>2.7906976744186</v>
      </c>
      <c r="I45" s="11" t="n">
        <f aca="false">B45/D45</f>
        <v>2.79245283018868</v>
      </c>
      <c r="J45" s="11" t="n">
        <f aca="false">B45/E45</f>
        <v>1.08421052631579</v>
      </c>
      <c r="K45" s="11" t="n">
        <f aca="false">B45/F45</f>
        <v>1.25395578498485</v>
      </c>
      <c r="L45" s="11" t="n">
        <f aca="false">B45/G45</f>
        <v>1.04273590624369</v>
      </c>
      <c r="M45" s="11"/>
      <c r="N45" s="9" t="n">
        <f aca="false" t="array" ref="N45:N45">IF(AND(A45&lt;&gt;"gpt-4o-mini",INDEX(Corpus!$Q$3:$Q$60,MATCH(A45,Corpus!$A$3:$A$60,0))&lt;&gt;"None"),1,0)</f>
        <v>1</v>
      </c>
      <c r="O45" s="5" t="n">
        <f aca="false">EXP(Levers!$G45-Levers!$B45-Levers!$C45)</f>
        <v>1.41765375105375</v>
      </c>
      <c r="P45" s="5" t="n">
        <f aca="false">EXP(Levers!$G45-Levers!$B45-Levers!$C45-Levers!$E45)</f>
        <v>1.13054524571684</v>
      </c>
      <c r="Q45" s="5" t="n">
        <f aca="false">EXP(Levers!$G45-Levers!$B45-Levers!$C45-Levers!$E45-Levers!$F45)</f>
        <v>1.08421052631579</v>
      </c>
      <c r="R45" s="5" t="n">
        <f aca="false">EXP(Levers!$G45-Levers!$B45-Levers!$C45-Levers!$E45-Levers!$F45-Levers!$D45)</f>
        <v>1</v>
      </c>
    </row>
    <row r="46" s="1" customFormat="true" ht="15.75" hidden="false" customHeight="true" outlineLevel="0" collapsed="false">
      <c r="A46" s="11" t="str">
        <f aca="false">Levers!A46</f>
        <v>gpt-5.6-terra (low)</v>
      </c>
      <c r="B46" s="11" t="n">
        <f aca="false">Levers!H46</f>
        <v>10.641683080279</v>
      </c>
      <c r="C46" s="11" t="n">
        <f aca="false">EXP(Levers!$G46-Levers!B46)</f>
        <v>3.8132697704333</v>
      </c>
      <c r="D46" s="11" t="n">
        <f aca="false">EXP(Levers!$G46-Levers!C46)</f>
        <v>3.81087299496477</v>
      </c>
      <c r="E46" s="11" t="n">
        <f aca="false">EXP(Levers!$G46-Levers!D46)</f>
        <v>9.81514458860682</v>
      </c>
      <c r="F46" s="11" t="n">
        <f aca="false">EXP(Levers!$G46-Levers!E46)</f>
        <v>8.67496058503691</v>
      </c>
      <c r="G46" s="11" t="n">
        <f aca="false">EXP(Levers!$G46-Levers!F46)</f>
        <v>10.3646601514347</v>
      </c>
      <c r="H46" s="11" t="n">
        <f aca="false">B46/C46</f>
        <v>2.7906976744186</v>
      </c>
      <c r="I46" s="11" t="n">
        <f aca="false">B46/D46</f>
        <v>2.79245283018868</v>
      </c>
      <c r="J46" s="11" t="n">
        <f aca="false">B46/E46</f>
        <v>1.08421052631579</v>
      </c>
      <c r="K46" s="11" t="n">
        <f aca="false">B46/F46</f>
        <v>1.22671255690019</v>
      </c>
      <c r="L46" s="11" t="n">
        <f aca="false">B46/G46</f>
        <v>1.02672764227642</v>
      </c>
      <c r="M46" s="11"/>
      <c r="N46" s="9" t="n">
        <f aca="false" t="array" ref="N46:N46">IF(AND(A46&lt;&gt;"gpt-4o-mini",INDEX(Corpus!$Q$3:$Q$60,MATCH(A46,Corpus!$A$3:$A$60,0))&lt;&gt;"None"),1,0)</f>
        <v>1</v>
      </c>
      <c r="O46" s="5" t="n">
        <f aca="false">EXP(Levers!$G46-Levers!$B46-Levers!$C46)</f>
        <v>1.36556282319571</v>
      </c>
      <c r="P46" s="5" t="n">
        <f aca="false">EXP(Levers!$G46-Levers!$B46-Levers!$C46-Levers!$E46)</f>
        <v>1.11318891741549</v>
      </c>
      <c r="Q46" s="5" t="n">
        <f aca="false">EXP(Levers!$G46-Levers!$B46-Levers!$C46-Levers!$E46-Levers!$F46)</f>
        <v>1.08421052631579</v>
      </c>
      <c r="R46" s="5" t="n">
        <f aca="false">EXP(Levers!$G46-Levers!$B46-Levers!$C46-Levers!$E46-Levers!$F46-Levers!$D46)</f>
        <v>1</v>
      </c>
    </row>
    <row r="47" s="1" customFormat="true" ht="15.75" hidden="false" customHeight="true" outlineLevel="0" collapsed="false">
      <c r="A47" s="11" t="str">
        <f aca="false">Levers!A47</f>
        <v>gpt-5.6-terra (medium)</v>
      </c>
      <c r="B47" s="11" t="n">
        <f aca="false">Levers!H47</f>
        <v>10.6800966228628</v>
      </c>
      <c r="C47" s="11" t="n">
        <f aca="false">EXP(Levers!$G47-Levers!B47)</f>
        <v>3.82703462319251</v>
      </c>
      <c r="D47" s="11" t="n">
        <f aca="false">EXP(Levers!$G47-Levers!C47)</f>
        <v>3.8246291960252</v>
      </c>
      <c r="E47" s="11" t="n">
        <f aca="false">EXP(Levers!$G47-Levers!D47)</f>
        <v>9.85057455506765</v>
      </c>
      <c r="F47" s="11" t="n">
        <f aca="false">EXP(Levers!$G47-Levers!E47)</f>
        <v>8.69105554063296</v>
      </c>
      <c r="G47" s="11" t="n">
        <f aca="false">EXP(Levers!$G47-Levers!F47)</f>
        <v>10.3828101294478</v>
      </c>
      <c r="H47" s="11" t="n">
        <f aca="false">B47/C47</f>
        <v>2.79069767441861</v>
      </c>
      <c r="I47" s="11" t="n">
        <f aca="false">B47/D47</f>
        <v>2.79245283018868</v>
      </c>
      <c r="J47" s="11" t="n">
        <f aca="false">B47/E47</f>
        <v>1.08421052631579</v>
      </c>
      <c r="K47" s="11" t="n">
        <f aca="false">B47/F47</f>
        <v>1.22886070315977</v>
      </c>
      <c r="L47" s="11" t="n">
        <f aca="false">B47/G47</f>
        <v>1.02863256572244</v>
      </c>
      <c r="M47" s="11"/>
      <c r="N47" s="9" t="n">
        <f aca="false" t="array" ref="N47:N47">IF(AND(A47&lt;&gt;"gpt-4o-mini",INDEX(Corpus!$Q$3:$Q$60,MATCH(A47,Corpus!$A$3:$A$60,0))&lt;&gt;"None"),1,0)</f>
        <v>1</v>
      </c>
      <c r="O47" s="5" t="n">
        <f aca="false">EXP(Levers!$G47-Levers!$B47-Levers!$C47)</f>
        <v>1.3704921285757</v>
      </c>
      <c r="P47" s="5" t="n">
        <f aca="false">EXP(Levers!$G47-Levers!$B47-Levers!$C47-Levers!$E47)</f>
        <v>1.11525425546748</v>
      </c>
      <c r="Q47" s="5" t="n">
        <f aca="false">EXP(Levers!$G47-Levers!$B47-Levers!$C47-Levers!$E47-Levers!$F47)</f>
        <v>1.08421052631579</v>
      </c>
      <c r="R47" s="5" t="n">
        <f aca="false">EXP(Levers!$G47-Levers!$B47-Levers!$C47-Levers!$E47-Levers!$F47-Levers!$D47)</f>
        <v>1</v>
      </c>
    </row>
    <row r="48" s="1" customFormat="true" ht="15.75" hidden="false" customHeight="true" outlineLevel="0" collapsed="false">
      <c r="A48" s="11" t="str">
        <f aca="false">Levers!A48</f>
        <v>gpt-5.6-terra (high)</v>
      </c>
      <c r="B48" s="11" t="n">
        <f aca="false">Levers!H48</f>
        <v>10.7829327969148</v>
      </c>
      <c r="C48" s="11" t="n">
        <f aca="false">EXP(Levers!$G48-Levers!B48)</f>
        <v>3.8638842522278</v>
      </c>
      <c r="D48" s="11" t="n">
        <f aca="false">EXP(Levers!$G48-Levers!C48)</f>
        <v>3.86145566376002</v>
      </c>
      <c r="E48" s="11" t="n">
        <f aca="false">EXP(Levers!$G48-Levers!D48)</f>
        <v>9.94542345346509</v>
      </c>
      <c r="F48" s="11" t="n">
        <f aca="false">EXP(Levers!$G48-Levers!E48)</f>
        <v>8.61009536363576</v>
      </c>
      <c r="G48" s="11" t="n">
        <f aca="false">EXP(Levers!$G48-Levers!F48)</f>
        <v>10.5813527475956</v>
      </c>
      <c r="H48" s="11" t="n">
        <f aca="false">B48/C48</f>
        <v>2.7906976744186</v>
      </c>
      <c r="I48" s="11" t="n">
        <f aca="false">B48/D48</f>
        <v>2.79245283018868</v>
      </c>
      <c r="J48" s="11" t="n">
        <f aca="false">B48/E48</f>
        <v>1.08421052631579</v>
      </c>
      <c r="K48" s="11" t="n">
        <f aca="false">B48/F48</f>
        <v>1.25235927611857</v>
      </c>
      <c r="L48" s="11" t="n">
        <f aca="false">B48/G48</f>
        <v>1.01905049894164</v>
      </c>
      <c r="M48" s="11"/>
      <c r="N48" s="9" t="n">
        <f aca="false" t="array" ref="N48:N48">IF(AND(A48&lt;&gt;"gpt-4o-mini",INDEX(Corpus!$Q$3:$Q$60,MATCH(A48,Corpus!$A$3:$A$60,0))&lt;&gt;"None"),1,0)</f>
        <v>1</v>
      </c>
      <c r="O48" s="5" t="n">
        <f aca="false">EXP(Levers!$G48-Levers!$B48-Levers!$C48)</f>
        <v>1.38368827951401</v>
      </c>
      <c r="P48" s="5" t="n">
        <f aca="false">EXP(Levers!$G48-Levers!$B48-Levers!$C48-Levers!$E48)</f>
        <v>1.10486527779988</v>
      </c>
      <c r="Q48" s="5" t="n">
        <f aca="false">EXP(Levers!$G48-Levers!$B48-Levers!$C48-Levers!$E48-Levers!$F48)</f>
        <v>1.08421052631579</v>
      </c>
      <c r="R48" s="5" t="n">
        <f aca="false">EXP(Levers!$G48-Levers!$B48-Levers!$C48-Levers!$E48-Levers!$F48-Levers!$D48)</f>
        <v>1</v>
      </c>
    </row>
    <row r="49" s="1" customFormat="true" ht="15.75" hidden="false" customHeight="true" outlineLevel="0" collapsed="false">
      <c r="A49" s="11" t="str">
        <f aca="false">Levers!A49</f>
        <v>gpt-5.6-terra (xhigh)</v>
      </c>
      <c r="B49" s="11" t="n">
        <f aca="false">Levers!H49</f>
        <v>11.0109892265593</v>
      </c>
      <c r="C49" s="11" t="n">
        <f aca="false">EXP(Levers!$G49-Levers!B49)</f>
        <v>3.94560447285041</v>
      </c>
      <c r="D49" s="11" t="n">
        <f aca="false">EXP(Levers!$G49-Levers!C49)</f>
        <v>3.9431245203219</v>
      </c>
      <c r="E49" s="11" t="n">
        <f aca="false">EXP(Levers!$G49-Levers!D49)</f>
        <v>10.1557667623605</v>
      </c>
      <c r="F49" s="11" t="n">
        <f aca="false">EXP(Levers!$G49-Levers!E49)</f>
        <v>8.86786406550118</v>
      </c>
      <c r="G49" s="11" t="n">
        <f aca="false">EXP(Levers!$G49-Levers!F49)</f>
        <v>10.4910647181588</v>
      </c>
      <c r="H49" s="11" t="n">
        <f aca="false">B49/C49</f>
        <v>2.7906976744186</v>
      </c>
      <c r="I49" s="11" t="n">
        <f aca="false">B49/D49</f>
        <v>2.79245283018868</v>
      </c>
      <c r="J49" s="11" t="n">
        <f aca="false">B49/E49</f>
        <v>1.08421052631579</v>
      </c>
      <c r="K49" s="11" t="n">
        <f aca="false">B49/F49</f>
        <v>1.24167320847819</v>
      </c>
      <c r="L49" s="11" t="n">
        <f aca="false">B49/G49</f>
        <v>1.04955879335112</v>
      </c>
      <c r="M49" s="11"/>
      <c r="N49" s="9" t="n">
        <f aca="false" t="array" ref="N49:N49">IF(AND(A49&lt;&gt;"gpt-4o-mini",INDEX(Corpus!$Q$3:$Q$60,MATCH(A49,Corpus!$A$3:$A$60,0))&lt;&gt;"None"),1,0)</f>
        <v>1</v>
      </c>
      <c r="O49" s="5" t="n">
        <f aca="false">EXP(Levers!$G49-Levers!$B49-Levers!$C49)</f>
        <v>1.41295295311535</v>
      </c>
      <c r="P49" s="5" t="n">
        <f aca="false">EXP(Levers!$G49-Levers!$B49-Levers!$C49-Levers!$E49)</f>
        <v>1.13794269173858</v>
      </c>
      <c r="Q49" s="5" t="n">
        <f aca="false">EXP(Levers!$G49-Levers!$B49-Levers!$C49-Levers!$E49-Levers!$F49)</f>
        <v>1.08421052631579</v>
      </c>
      <c r="R49" s="5" t="n">
        <f aca="false">EXP(Levers!$G49-Levers!$B49-Levers!$C49-Levers!$E49-Levers!$F49-Levers!$D49)</f>
        <v>1</v>
      </c>
    </row>
    <row r="50" s="1" customFormat="true" ht="15.75" hidden="false" customHeight="true" outlineLevel="0" collapsed="false">
      <c r="A50" s="11"/>
      <c r="B50" s="11"/>
      <c r="C50" s="11"/>
      <c r="D50" s="11"/>
      <c r="E50" s="11"/>
      <c r="F50" s="11"/>
      <c r="G50" s="11"/>
      <c r="H50" s="11"/>
      <c r="I50" s="11"/>
      <c r="J50" s="11"/>
      <c r="K50" s="11"/>
      <c r="L50" s="11"/>
      <c r="M50" s="11"/>
    </row>
    <row r="51" s="1" customFormat="true" ht="15.75" hidden="false" customHeight="true" outlineLevel="0" collapsed="false">
      <c r="A51" s="11" t="s">
        <v>272</v>
      </c>
      <c r="B51" s="11" t="n">
        <f aca="false" t="array" ref="B51:B51">MEDIAN(IF($N$3:$N$49=1,B3:B49))</f>
        <v>11.0843005102309</v>
      </c>
      <c r="C51" s="11" t="n">
        <f aca="false" t="array" ref="C51:C51">MEDIAN(IF($N$3:$N$49=1,C3:C49))</f>
        <v>3.97187434949939</v>
      </c>
      <c r="D51" s="11" t="n">
        <f aca="false" t="array" ref="D51:D51">MEDIAN(IF($N$3:$N$49=1,D3:D49))</f>
        <v>3.96937788542051</v>
      </c>
      <c r="E51" s="11" t="n">
        <f aca="false" t="array" ref="E51:E51">MEDIAN(IF($N$3:$N$49=1,E3:E49))</f>
        <v>10.2233839657469</v>
      </c>
      <c r="F51" s="11" t="n">
        <f aca="false" t="array" ref="F51:F51">MEDIAN(IF($N$3:$N$49=1,F3:F49))</f>
        <v>8.91483548505999</v>
      </c>
      <c r="G51" s="11" t="n">
        <f aca="false" t="array" ref="G51:G51">MEDIAN(IF($N$3:$N$49=1,G3:G49))</f>
        <v>10.5767577994974</v>
      </c>
      <c r="H51" s="11" t="n">
        <f aca="false" t="array" ref="H51:H51">MEDIAN(IF($N$3:$N$49=1,H3:H49))</f>
        <v>2.7906976744186</v>
      </c>
      <c r="I51" s="11" t="n">
        <f aca="false" t="array" ref="I51:I51">MEDIAN(IF($N$3:$N$49=1,I3:I49))</f>
        <v>2.79245283018868</v>
      </c>
      <c r="J51" s="11" t="n">
        <f aca="false" t="array" ref="J51:J51">MEDIAN(IF($N$3:$N$49=1,J3:J49))</f>
        <v>1.08421052631579</v>
      </c>
      <c r="K51" s="11" t="n">
        <f aca="false" t="array" ref="K51:K51">MEDIAN(IF($N$3:$N$49=1,K3:K49))</f>
        <v>1.25181543961569</v>
      </c>
      <c r="L51" s="11" t="n">
        <f aca="false" t="array" ref="L51:L51">MEDIAN(IF($N$3:$N$49=1,L3:L49))</f>
        <v>1.05511811023622</v>
      </c>
      <c r="M51" s="11"/>
    </row>
    <row r="52" s="1" customFormat="true" ht="15.75" hidden="false" customHeight="true" outlineLevel="0" collapsed="false">
      <c r="A52" s="11" t="s">
        <v>273</v>
      </c>
      <c r="B52" s="11" t="n">
        <f aca="false" t="array" ref="B52:B52">MEDIAN(IF($N$3:$N$49=1,$O$3:$O$49))</f>
        <v>1.42236040894235</v>
      </c>
      <c r="C52" s="11" t="n">
        <f aca="false" t="array" ref="C52:C52">MIN(IF($N$3:$N$49=1,$O$3:$O$49))</f>
        <v>1.36556282319571</v>
      </c>
      <c r="D52" s="11" t="n">
        <f aca="false" t="array" ref="D52:D52">MAX(IF($N$3:$N$49=1,$O$3:$O$49))</f>
        <v>2.42524805705106</v>
      </c>
      <c r="E52" s="11"/>
      <c r="F52" s="11"/>
      <c r="G52" s="11"/>
      <c r="H52" s="11"/>
      <c r="I52" s="11"/>
      <c r="J52" s="11"/>
      <c r="K52" s="11"/>
      <c r="L52" s="11"/>
      <c r="M52" s="11"/>
    </row>
    <row r="53" s="1" customFormat="true" ht="15.75" hidden="false" customHeight="true" outlineLevel="0" collapsed="false">
      <c r="A53" s="11" t="s">
        <v>274</v>
      </c>
      <c r="B53" s="11" t="n">
        <f aca="false" t="array" ref="B53:B53">MIN(IF($N$3:$N$49=1,$B$3:$B$49))</f>
        <v>10.641683080279</v>
      </c>
      <c r="C53" s="11" t="n">
        <f aca="false" t="array" ref="C53:C53">MEDIAN(IF($N$3:$N$49=1,$B$3:$B$49))</f>
        <v>11.0843005102309</v>
      </c>
      <c r="D53" s="11" t="n">
        <f aca="false" t="array" ref="D53:D53">AVERAGE(IF($N$3:$N$49=1,$B$3:$B$49))</f>
        <v>11.4797470751577</v>
      </c>
      <c r="E53" s="11" t="n">
        <f aca="false" t="array" ref="E53:E53">MAX(IF($N$3:$N$49=1,$B$3:$B$49))</f>
        <v>18.8996952581074</v>
      </c>
      <c r="F53" s="11"/>
      <c r="G53" s="11"/>
      <c r="H53" s="11"/>
      <c r="I53" s="11"/>
      <c r="J53" s="11"/>
      <c r="K53" s="11"/>
      <c r="L53" s="11"/>
      <c r="M53" s="11"/>
    </row>
    <row r="54" s="1" customFormat="true" ht="15.75" hidden="false" customHeight="true" outlineLevel="0" collapsed="false">
      <c r="A54" s="11" t="s">
        <v>275</v>
      </c>
      <c r="B54" s="11" t="n">
        <f aca="false" t="array" ref="B54:B54">MEDIAN(IF($N$3:$N$49=1,$P$3:$P$49))</f>
        <v>1.14397016162453</v>
      </c>
      <c r="C54" s="11" t="n">
        <f aca="false" t="array" ref="C54:C54">MEDIAN(IF($N$3:$N$49=1,$Q$3:$Q$49))</f>
        <v>1.08421052631579</v>
      </c>
      <c r="D54" s="11" t="n">
        <f aca="false" t="array" ref="D54:D54">MEDIAN(IF($N$3:$N$49=1,$R$3:$R$49))</f>
        <v>1</v>
      </c>
      <c r="E54" s="11" t="n">
        <f aca="false">$B$51/B54</f>
        <v>9.68932659440192</v>
      </c>
      <c r="F54" s="11" t="n">
        <f aca="false">$B$51/C54</f>
        <v>10.2233839657469</v>
      </c>
      <c r="G54" s="11" t="n">
        <f aca="false">$B$51/D54</f>
        <v>11.0843005102309</v>
      </c>
      <c r="H54" s="11" t="n">
        <f aca="false">$B$51/$B$52</f>
        <v>7.7928916191312</v>
      </c>
      <c r="I54" s="11"/>
      <c r="J54" s="11"/>
      <c r="K54" s="11"/>
      <c r="L54" s="11"/>
      <c r="M54"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21" min="1" style="1" width="26"/>
  </cols>
  <sheetData>
    <row r="1" s="1" customFormat="true" ht="45.75" hidden="false" customHeight="true" outlineLevel="0" collapsed="false">
      <c r="A1" s="13" t="s">
        <v>276</v>
      </c>
      <c r="B1" s="13"/>
      <c r="C1" s="13"/>
      <c r="D1" s="13"/>
      <c r="E1" s="13"/>
      <c r="F1" s="13"/>
      <c r="G1" s="13"/>
      <c r="H1" s="13"/>
      <c r="I1" s="13"/>
      <c r="J1" s="13"/>
      <c r="K1" s="13"/>
      <c r="L1" s="13"/>
      <c r="M1" s="13"/>
      <c r="N1" s="13"/>
      <c r="O1" s="13"/>
      <c r="P1" s="13"/>
      <c r="Q1" s="13"/>
      <c r="R1" s="13"/>
      <c r="S1" s="13"/>
      <c r="T1" s="13"/>
      <c r="U1" s="13"/>
    </row>
    <row r="2" s="1" customFormat="true" ht="69.75" hidden="false" customHeight="true" outlineLevel="0" collapsed="false">
      <c r="A2" s="14" t="s">
        <v>277</v>
      </c>
      <c r="B2" s="14" t="s">
        <v>278</v>
      </c>
      <c r="C2" s="14" t="s">
        <v>279</v>
      </c>
      <c r="D2" s="14" t="s">
        <v>280</v>
      </c>
      <c r="E2" s="14" t="s">
        <v>281</v>
      </c>
      <c r="F2" s="14" t="s">
        <v>282</v>
      </c>
      <c r="G2" s="14" t="s">
        <v>283</v>
      </c>
      <c r="H2" s="14" t="s">
        <v>284</v>
      </c>
      <c r="I2" s="14" t="s">
        <v>285</v>
      </c>
      <c r="J2" s="14" t="s">
        <v>286</v>
      </c>
      <c r="K2" s="14" t="s">
        <v>287</v>
      </c>
      <c r="L2" s="14" t="s">
        <v>288</v>
      </c>
      <c r="M2" s="14" t="s">
        <v>289</v>
      </c>
      <c r="N2" s="14" t="s">
        <v>290</v>
      </c>
      <c r="O2" s="14" t="s">
        <v>291</v>
      </c>
      <c r="P2" s="14" t="s">
        <v>292</v>
      </c>
      <c r="Q2" s="14" t="s">
        <v>293</v>
      </c>
      <c r="R2" s="14" t="s">
        <v>294</v>
      </c>
      <c r="S2" s="14" t="s">
        <v>295</v>
      </c>
      <c r="T2" s="14" t="s">
        <v>296</v>
      </c>
      <c r="U2" s="14" t="s">
        <v>297</v>
      </c>
    </row>
    <row r="3" s="1" customFormat="true" ht="15" hidden="false" customHeight="true" outlineLevel="0" collapsed="false">
      <c r="A3" s="1" t="s">
        <v>298</v>
      </c>
      <c r="B3" s="1" t="s">
        <v>156</v>
      </c>
      <c r="C3" s="1" t="s">
        <v>151</v>
      </c>
      <c r="D3" s="5" t="n">
        <f aca="false" t="array" ref="D3:D3">INDEX(Table6!$C$3:$C$51,MATCH($B3,Table6!$A$3:$A$51,0))</f>
        <v>52.91</v>
      </c>
      <c r="E3" s="5" t="n">
        <f aca="false" t="array" ref="E3:E3">INDEX(Table6!$C$3:$C$51,MATCH($C3,Table6!$A$3:$A$51,0))</f>
        <v>129.9</v>
      </c>
      <c r="F3" s="5" t="n">
        <f aca="false" t="array" ref="F3:F3">INDEX(Table6!$K$3:$K$51,MATCH($B3,Table6!$A$3:$A$51,0))</f>
        <v>1.44</v>
      </c>
      <c r="G3" s="5" t="n">
        <f aca="false" t="array" ref="G3:G3">INDEX(Table6!$K$3:$K$51,MATCH($C3,Table6!$A$3:$A$51,0))</f>
        <v>1.6</v>
      </c>
      <c r="H3" s="3" t="n">
        <f aca="false">(F3/G3)*(E3/D3)</f>
        <v>2.20960120960121</v>
      </c>
      <c r="I3" s="3" t="n">
        <f aca="false" t="array" ref="I3:I3">INDEX(Table7!$E$3:$E$49,MATCH($B3,Table7!$A$3:$A$49,0))/INDEX(Table7!$E$3:$E$49,MATCH($C3,Table7!$A$3:$A$49,0))</f>
        <v>2.20960120960121</v>
      </c>
      <c r="J3" s="3" t="n">
        <v>2.207</v>
      </c>
      <c r="K3" s="8" t="n">
        <f aca="false">J3/H3-1</f>
        <v>-0.00117723034813122</v>
      </c>
      <c r="L3" s="3" t="n">
        <v>2.052</v>
      </c>
      <c r="M3" s="3" t="n">
        <v>2.372</v>
      </c>
      <c r="N3" s="3" t="n">
        <f aca="false">L3/J3</f>
        <v>0.929768917082012</v>
      </c>
      <c r="O3" s="3" t="n">
        <f aca="false">M3/J3</f>
        <v>1.0747621205256</v>
      </c>
      <c r="P3" s="5" t="n">
        <f aca="false" t="array" ref="P3:P3">INDEX(Table8!$B$3:$B$49,MATCH($B3,Table8!$A$3:$A$49,0))</f>
        <v>0.862168042943149</v>
      </c>
      <c r="Q3" s="5" t="n">
        <f aca="false" t="array" ref="Q3:Q3">INDEX(Table8!$D$3:$D$49,MATCH($B3,Table8!$A$3:$A$49,0))</f>
        <v>9.28381233900957</v>
      </c>
      <c r="R3" s="5" t="n">
        <f aca="false" t="array" ref="R3:R3">INDEX(Table8!$B$3:$B$49,MATCH($C3,Table8!$A$3:$A$49,0))</f>
        <v>0.386838336372098</v>
      </c>
      <c r="S3" s="5" t="n">
        <f aca="false" t="array" ref="S3:S3">INDEX(Table8!$D$3:$D$49,MATCH($C3,Table8!$A$3:$A$49,0))</f>
        <v>4.27971417530285</v>
      </c>
      <c r="T3" s="5" t="n">
        <f aca="false">P3/S3</f>
        <v>0.201454584962356</v>
      </c>
      <c r="U3" s="5" t="n">
        <f aca="false">Q3/R3</f>
        <v>23.9992044895972</v>
      </c>
    </row>
    <row r="4" s="1" customFormat="true" ht="15" hidden="false" customHeight="true" outlineLevel="0" collapsed="false">
      <c r="A4" s="1" t="s">
        <v>298</v>
      </c>
      <c r="B4" s="1" t="s">
        <v>158</v>
      </c>
      <c r="C4" s="1" t="s">
        <v>153</v>
      </c>
      <c r="D4" s="5" t="n">
        <f aca="false" t="array" ref="D4:D4">INDEX(Table6!$C$3:$C$51,MATCH($B4,Table6!$A$3:$A$51,0))</f>
        <v>53.64</v>
      </c>
      <c r="E4" s="5" t="n">
        <f aca="false" t="array" ref="E4:E4">INDEX(Table6!$C$3:$C$51,MATCH($C4,Table6!$A$3:$A$51,0))</f>
        <v>134.91</v>
      </c>
      <c r="F4" s="5" t="n">
        <f aca="false" t="array" ref="F4:F4">INDEX(Table6!$K$3:$K$51,MATCH($B4,Table6!$A$3:$A$51,0))</f>
        <v>1.47</v>
      </c>
      <c r="G4" s="5" t="n">
        <f aca="false" t="array" ref="G4:G4">INDEX(Table6!$K$3:$K$51,MATCH($C4,Table6!$A$3:$A$51,0))</f>
        <v>1.58</v>
      </c>
      <c r="H4" s="3" t="n">
        <f aca="false">(F4/G4)*(E4/D4)</f>
        <v>2.33999872568176</v>
      </c>
      <c r="I4" s="3" t="n">
        <f aca="false" t="array" ref="I4:I4">INDEX(Table7!$E$3:$E$49,MATCH($B4,Table7!$A$3:$A$49,0))/INDEX(Table7!$E$3:$E$49,MATCH($C4,Table7!$A$3:$A$49,0))</f>
        <v>2.33999872568176</v>
      </c>
      <c r="J4" s="3" t="n">
        <v>2.34</v>
      </c>
      <c r="K4" s="8" t="n">
        <f aca="false">J4/H4-1</f>
        <v>5.44580740946543E-007</v>
      </c>
      <c r="L4" s="3" t="n">
        <v>2.153</v>
      </c>
      <c r="M4" s="3" t="n">
        <v>2.521</v>
      </c>
      <c r="N4" s="3" t="n">
        <f aca="false">L4/J4</f>
        <v>0.92008547008547</v>
      </c>
      <c r="O4" s="3" t="n">
        <f aca="false">M4/J4</f>
        <v>1.07735042735043</v>
      </c>
      <c r="P4" s="5" t="n">
        <f aca="false" t="array" ref="P4:P4">INDEX(Table8!$B$3:$B$49,MATCH($B4,Table8!$A$3:$A$49,0))</f>
        <v>0.851009174500738</v>
      </c>
      <c r="Q4" s="5" t="n">
        <f aca="false" t="array" ref="Q4:Q4">INDEX(Table8!$D$3:$D$49,MATCH($B4,Table8!$A$3:$A$49,0))</f>
        <v>9.3073849217493</v>
      </c>
      <c r="R4" s="5" t="n">
        <f aca="false" t="array" ref="R4:R4">INDEX(Table8!$B$3:$B$49,MATCH($C4,Table8!$A$3:$A$49,0))</f>
        <v>0.367725428249372</v>
      </c>
      <c r="S4" s="5" t="n">
        <f aca="false" t="array" ref="S4:S4">INDEX(Table8!$D$3:$D$49,MATCH($C4,Table8!$A$3:$A$49,0))</f>
        <v>4.01532228661101</v>
      </c>
      <c r="T4" s="5" t="n">
        <f aca="false">P4/S4</f>
        <v>0.211940440581421</v>
      </c>
      <c r="U4" s="5" t="n">
        <f aca="false">Q4/R4</f>
        <v>25.3106916376681</v>
      </c>
    </row>
    <row r="5" s="1" customFormat="true" ht="15" hidden="false" customHeight="true" outlineLevel="0" collapsed="false">
      <c r="A5" s="1" t="s">
        <v>298</v>
      </c>
      <c r="B5" s="1" t="s">
        <v>160</v>
      </c>
      <c r="C5" s="1" t="s">
        <v>155</v>
      </c>
      <c r="D5" s="5" t="n">
        <f aca="false" t="array" ref="D5:D5">INDEX(Table6!$C$3:$C$51,MATCH($B5,Table6!$A$3:$A$51,0))</f>
        <v>55.21</v>
      </c>
      <c r="E5" s="5" t="n">
        <f aca="false" t="array" ref="E5:E5">INDEX(Table6!$C$3:$C$51,MATCH($C5,Table6!$A$3:$A$51,0))</f>
        <v>130.2</v>
      </c>
      <c r="F5" s="5" t="n">
        <f aca="false" t="array" ref="F5:F5">INDEX(Table6!$K$3:$K$51,MATCH($B5,Table6!$A$3:$A$51,0))</f>
        <v>1.91</v>
      </c>
      <c r="G5" s="5" t="n">
        <f aca="false" t="array" ref="G5:G5">INDEX(Table6!$K$3:$K$51,MATCH($C5,Table6!$A$3:$A$51,0))</f>
        <v>2.58</v>
      </c>
      <c r="H5" s="3" t="n">
        <f aca="false">(F5/G5)*(E5/D5)</f>
        <v>1.7458498839526</v>
      </c>
      <c r="I5" s="3" t="n">
        <f aca="false" t="array" ref="I5:I5">INDEX(Table7!$E$3:$E$49,MATCH($B5,Table7!$A$3:$A$49,0))/INDEX(Table7!$E$3:$E$49,MATCH($C5,Table7!$A$3:$A$49,0))</f>
        <v>1.7458498839526</v>
      </c>
      <c r="J5" s="3" t="n">
        <v>1.749</v>
      </c>
      <c r="K5" s="8" t="n">
        <f aca="false">J5/H5-1</f>
        <v>0.0018043453084664</v>
      </c>
      <c r="L5" s="3" t="n">
        <v>1.545</v>
      </c>
      <c r="M5" s="3" t="n">
        <v>1.867</v>
      </c>
      <c r="N5" s="3" t="n">
        <f aca="false">L5/J5</f>
        <v>0.88336192109777</v>
      </c>
      <c r="O5" s="3" t="n">
        <f aca="false">M5/J5</f>
        <v>1.0674671240709</v>
      </c>
      <c r="P5" s="5" t="n">
        <f aca="false" t="array" ref="P5:P5">INDEX(Table8!$B$3:$B$49,MATCH($B5,Table8!$A$3:$A$49,0))</f>
        <v>1.04478747588195</v>
      </c>
      <c r="Q5" s="5" t="n">
        <f aca="false" t="array" ref="Q5:Q5">INDEX(Table8!$D$3:$D$49,MATCH($B5,Table8!$A$3:$A$49,0))</f>
        <v>12.2262450687851</v>
      </c>
      <c r="R5" s="5" t="n">
        <f aca="false" t="array" ref="R5:R5">INDEX(Table8!$B$3:$B$49,MATCH($C5,Table8!$A$3:$A$49,0))</f>
        <v>0.622673819882684</v>
      </c>
      <c r="S5" s="5" t="n">
        <f aca="false" t="array" ref="S5:S5">INDEX(Table8!$D$3:$D$49,MATCH($C5,Table8!$A$3:$A$49,0))</f>
        <v>7.0680139820709</v>
      </c>
      <c r="T5" s="5" t="n">
        <f aca="false">P5/S5</f>
        <v>0.147819101452291</v>
      </c>
      <c r="U5" s="5" t="n">
        <f aca="false">Q5/R5</f>
        <v>19.6350716513</v>
      </c>
    </row>
    <row r="6" s="1" customFormat="true" ht="15" hidden="false" customHeight="true" outlineLevel="0" collapsed="false">
      <c r="A6" s="1" t="s">
        <v>299</v>
      </c>
      <c r="B6" s="1" t="s">
        <v>160</v>
      </c>
      <c r="C6" s="1" t="s">
        <v>156</v>
      </c>
      <c r="D6" s="5" t="n">
        <f aca="false" t="array" ref="D6:D6">INDEX(Table6!$C$3:$C$51,MATCH($B6,Table6!$A$3:$A$51,0))</f>
        <v>55.21</v>
      </c>
      <c r="E6" s="5" t="n">
        <f aca="false" t="array" ref="E6:E6">INDEX(Table6!$C$3:$C$51,MATCH($C6,Table6!$A$3:$A$51,0))</f>
        <v>52.91</v>
      </c>
      <c r="F6" s="5" t="n">
        <f aca="false" t="array" ref="F6:F6">INDEX(Table6!$K$3:$K$51,MATCH($B6,Table6!$A$3:$A$51,0))</f>
        <v>1.91</v>
      </c>
      <c r="G6" s="5" t="n">
        <f aca="false" t="array" ref="G6:G6">INDEX(Table6!$K$3:$K$51,MATCH($C6,Table6!$A$3:$A$51,0))</f>
        <v>1.44</v>
      </c>
      <c r="H6" s="3" t="n">
        <f aca="false">(F6/G6)*(E6/D6)</f>
        <v>1.27113269536517</v>
      </c>
      <c r="I6" s="3" t="n">
        <f aca="false" t="array" ref="I6:I6">INDEX(Table7!$E$3:$E$49,MATCH($B6,Table7!$A$3:$A$49,0))/INDEX(Table7!$E$3:$E$49,MATCH($C6,Table7!$A$3:$A$49,0))</f>
        <v>1.27113269536517</v>
      </c>
      <c r="J6" s="3" t="n">
        <v>1.276</v>
      </c>
      <c r="K6" s="8" t="n">
        <f aca="false">J6/H6-1</f>
        <v>0.00382910820607174</v>
      </c>
      <c r="L6" s="3" t="n">
        <v>1.154</v>
      </c>
      <c r="M6" s="3" t="n">
        <v>1.369</v>
      </c>
      <c r="N6" s="3" t="n">
        <f aca="false">L6/J6</f>
        <v>0.904388714733542</v>
      </c>
      <c r="O6" s="3" t="n">
        <f aca="false">M6/J6</f>
        <v>1.07288401253919</v>
      </c>
      <c r="P6" s="5" t="n">
        <f aca="false" t="array" ref="P6:P6">INDEX(Table8!$B$3:$B$49,MATCH($B6,Table8!$A$3:$A$49,0))</f>
        <v>1.04478747588195</v>
      </c>
      <c r="Q6" s="5" t="n">
        <f aca="false" t="array" ref="Q6:Q6">INDEX(Table8!$D$3:$D$49,MATCH($B6,Table8!$A$3:$A$49,0))</f>
        <v>12.2262450687851</v>
      </c>
      <c r="R6" s="5" t="n">
        <f aca="false" t="array" ref="R6:R6">INDEX(Table8!$B$3:$B$49,MATCH($C6,Table8!$A$3:$A$49,0))</f>
        <v>0.862168042943149</v>
      </c>
      <c r="S6" s="5" t="n">
        <f aca="false" t="array" ref="S6:S6">INDEX(Table8!$D$3:$D$49,MATCH($C6,Table8!$A$3:$A$49,0))</f>
        <v>9.28381233900957</v>
      </c>
      <c r="T6" s="5" t="n">
        <f aca="false">P6/S6</f>
        <v>0.112538625052972</v>
      </c>
      <c r="U6" s="5" t="n">
        <f aca="false">Q6/R6</f>
        <v>14.1808144814193</v>
      </c>
    </row>
    <row r="7" s="1" customFormat="true" ht="15" hidden="false" customHeight="true" outlineLevel="0" collapsed="false">
      <c r="A7" s="1" t="s">
        <v>299</v>
      </c>
      <c r="B7" s="1" t="s">
        <v>155</v>
      </c>
      <c r="C7" s="1" t="s">
        <v>151</v>
      </c>
      <c r="D7" s="5" t="n">
        <f aca="false" t="array" ref="D7:D7">INDEX(Table6!$C$3:$C$51,MATCH($B7,Table6!$A$3:$A$51,0))</f>
        <v>130.2</v>
      </c>
      <c r="E7" s="5" t="n">
        <f aca="false" t="array" ref="E7:E7">INDEX(Table6!$C$3:$C$51,MATCH($C7,Table6!$A$3:$A$51,0))</f>
        <v>129.9</v>
      </c>
      <c r="F7" s="5" t="n">
        <f aca="false" t="array" ref="F7:F7">INDEX(Table6!$K$3:$K$51,MATCH($B7,Table6!$A$3:$A$51,0))</f>
        <v>2.58</v>
      </c>
      <c r="G7" s="5" t="n">
        <f aca="false" t="array" ref="G7:G7">INDEX(Table6!$K$3:$K$51,MATCH($C7,Table6!$A$3:$A$51,0))</f>
        <v>1.6</v>
      </c>
      <c r="H7" s="3" t="n">
        <f aca="false">(F7/G7)*(E7/D7)</f>
        <v>1.60878456221198</v>
      </c>
      <c r="I7" s="3" t="n">
        <f aca="false" t="array" ref="I7:I7">INDEX(Table7!$E$3:$E$49,MATCH($B7,Table7!$A$3:$A$49,0))/INDEX(Table7!$E$3:$E$49,MATCH($C7,Table7!$A$3:$A$49,0))</f>
        <v>1.60878456221198</v>
      </c>
      <c r="J7" s="3" t="n">
        <v>1.611</v>
      </c>
      <c r="K7" s="8" t="n">
        <f aca="false">J7/H7-1</f>
        <v>0.00137708792094071</v>
      </c>
      <c r="L7" s="3" t="n">
        <v>1.501</v>
      </c>
      <c r="M7" s="3" t="n">
        <v>1.776</v>
      </c>
      <c r="N7" s="3" t="n">
        <f aca="false">L7/J7</f>
        <v>0.931719428926133</v>
      </c>
      <c r="O7" s="3" t="n">
        <f aca="false">M7/J7</f>
        <v>1.1024208566108</v>
      </c>
      <c r="P7" s="5" t="n">
        <f aca="false" t="array" ref="P7:P7">INDEX(Table8!$B$3:$B$49,MATCH($B7,Table8!$A$3:$A$49,0))</f>
        <v>0.622673819882684</v>
      </c>
      <c r="Q7" s="5" t="n">
        <f aca="false" t="array" ref="Q7:Q7">INDEX(Table8!$D$3:$D$49,MATCH($B7,Table8!$A$3:$A$49,0))</f>
        <v>7.0680139820709</v>
      </c>
      <c r="R7" s="5" t="n">
        <f aca="false" t="array" ref="R7:R7">INDEX(Table8!$B$3:$B$49,MATCH($C7,Table8!$A$3:$A$49,0))</f>
        <v>0.386838336372098</v>
      </c>
      <c r="S7" s="5" t="n">
        <f aca="false" t="array" ref="S7:S7">INDEX(Table8!$D$3:$D$49,MATCH($C7,Table8!$A$3:$A$49,0))</f>
        <v>4.27971417530285</v>
      </c>
      <c r="T7" s="5" t="n">
        <f aca="false">P7/S7</f>
        <v>0.145494253676093</v>
      </c>
      <c r="U7" s="5" t="n">
        <f aca="false">Q7/R7</f>
        <v>18.2712345636607</v>
      </c>
    </row>
    <row r="8" s="1" customFormat="true" ht="15" hidden="false" customHeight="true" outlineLevel="0" collapsed="false">
      <c r="A8" s="1" t="s">
        <v>299</v>
      </c>
      <c r="B8" s="1" t="s">
        <v>167</v>
      </c>
      <c r="C8" s="1" t="s">
        <v>163</v>
      </c>
      <c r="D8" s="5" t="n">
        <f aca="false" t="array" ref="D8:D8">INDEX(Table6!$C$3:$C$51,MATCH($B8,Table6!$A$3:$A$51,0))</f>
        <v>95.22</v>
      </c>
      <c r="E8" s="5" t="n">
        <f aca="false" t="array" ref="E8:E8">INDEX(Table6!$C$3:$C$51,MATCH($C8,Table6!$A$3:$A$51,0))</f>
        <v>96.85</v>
      </c>
      <c r="F8" s="5" t="n">
        <f aca="false" t="array" ref="F8:F8">INDEX(Table6!$K$3:$K$51,MATCH($B8,Table6!$A$3:$A$51,0))</f>
        <v>1.68</v>
      </c>
      <c r="G8" s="5" t="n">
        <f aca="false" t="array" ref="G8:G8">INDEX(Table6!$K$3:$K$51,MATCH($C8,Table6!$A$3:$A$51,0))</f>
        <v>1.38</v>
      </c>
      <c r="H8" s="3" t="n">
        <f aca="false">(F8/G8)*(E8/D8)</f>
        <v>1.23823091604796</v>
      </c>
      <c r="I8" s="3" t="n">
        <f aca="false" t="array" ref="I8:I8">INDEX(Table7!$E$3:$E$49,MATCH($B8,Table7!$A$3:$A$49,0))/INDEX(Table7!$E$3:$E$49,MATCH($C8,Table7!$A$3:$A$49,0))</f>
        <v>1.23823091604796</v>
      </c>
      <c r="J8" s="3" t="n">
        <v>1.239</v>
      </c>
      <c r="K8" s="8" t="n">
        <f aca="false">J8/H8-1</f>
        <v>0.000621115126484106</v>
      </c>
      <c r="L8" s="3" t="n">
        <v>1.151</v>
      </c>
      <c r="M8" s="3" t="n">
        <v>1.313</v>
      </c>
      <c r="N8" s="3" t="n">
        <f aca="false">L8/J8</f>
        <v>0.928974979822437</v>
      </c>
      <c r="O8" s="3" t="n">
        <f aca="false">M8/J8</f>
        <v>1.05972558514931</v>
      </c>
      <c r="P8" s="5" t="n">
        <f aca="false" t="array" ref="P8:P8">INDEX(Table8!$B$3:$B$49,MATCH($B8,Table8!$A$3:$A$49,0))</f>
        <v>0.554045870175646</v>
      </c>
      <c r="Q8" s="5" t="n">
        <f aca="false" t="array" ref="Q8:Q8">INDEX(Table8!$D$3:$D$49,MATCH($B8,Table8!$A$3:$A$49,0))</f>
        <v>6.1005931075237</v>
      </c>
      <c r="R8" s="5" t="n">
        <f aca="false" t="array" ref="R8:R8">INDEX(Table8!$B$3:$B$49,MATCH($C8,Table8!$A$3:$A$49,0))</f>
        <v>0.454122268075258</v>
      </c>
      <c r="S8" s="5" t="n">
        <f aca="false" t="array" ref="S8:S8">INDEX(Table8!$D$3:$D$49,MATCH($C8,Table8!$A$3:$A$49,0))</f>
        <v>5.01697117556161</v>
      </c>
      <c r="T8" s="5" t="n">
        <f aca="false">P8/S8</f>
        <v>0.11043433394126</v>
      </c>
      <c r="U8" s="5" t="n">
        <f aca="false">Q8/R8</f>
        <v>13.4338118528746</v>
      </c>
    </row>
    <row r="9" s="1" customFormat="true" ht="15" hidden="false" customHeight="true" outlineLevel="0" collapsed="false">
      <c r="A9" s="1" t="s">
        <v>299</v>
      </c>
      <c r="B9" s="1" t="s">
        <v>150</v>
      </c>
      <c r="C9" s="1" t="s">
        <v>145</v>
      </c>
      <c r="D9" s="5" t="n">
        <f aca="false" t="array" ref="D9:D9">INDEX(Table6!$C$3:$C$51,MATCH($B9,Table6!$A$3:$A$51,0))</f>
        <v>59.91</v>
      </c>
      <c r="E9" s="5" t="n">
        <f aca="false" t="array" ref="E9:E9">INDEX(Table6!$C$3:$C$51,MATCH($C9,Table6!$A$3:$A$51,0))</f>
        <v>59.88</v>
      </c>
      <c r="F9" s="5" t="n">
        <f aca="false" t="array" ref="F9:F9">INDEX(Table6!$K$3:$K$51,MATCH($B9,Table6!$A$3:$A$51,0))</f>
        <v>2.46</v>
      </c>
      <c r="G9" s="5" t="n">
        <f aca="false" t="array" ref="G9:G9">INDEX(Table6!$K$3:$K$51,MATCH($C9,Table6!$A$3:$A$51,0))</f>
        <v>1.71</v>
      </c>
      <c r="H9" s="3" t="n">
        <f aca="false">(F9/G9)*(E9/D9)</f>
        <v>1.43787611241424</v>
      </c>
      <c r="I9" s="3" t="n">
        <f aca="false" t="array" ref="I9:I9">INDEX(Table7!$E$3:$E$49,MATCH($B9,Table7!$A$3:$A$49,0))/INDEX(Table7!$E$3:$E$49,MATCH($C9,Table7!$A$3:$A$49,0))</f>
        <v>1.43787611241424</v>
      </c>
      <c r="J9" s="3" t="n">
        <v>1.439</v>
      </c>
      <c r="K9" s="8" t="n">
        <f aca="false">J9/H9-1</f>
        <v>0.000781630333838379</v>
      </c>
      <c r="L9" s="3" t="n">
        <v>1.277</v>
      </c>
      <c r="M9" s="3" t="n">
        <v>1.589</v>
      </c>
      <c r="N9" s="3" t="n">
        <f aca="false">L9/J9</f>
        <v>0.887421820708826</v>
      </c>
      <c r="O9" s="3" t="n">
        <f aca="false">M9/J9</f>
        <v>1.10423905489924</v>
      </c>
      <c r="P9" s="5" t="n">
        <f aca="false" t="array" ref="P9:P9">INDEX(Table8!$B$3:$B$49,MATCH($B9,Table8!$A$3:$A$49,0))</f>
        <v>1.28060721793178</v>
      </c>
      <c r="Q9" s="5" t="n">
        <f aca="false" t="array" ref="Q9:Q9">INDEX(Table8!$D$3:$D$49,MATCH($B9,Table8!$A$3:$A$49,0))</f>
        <v>15.2765680478593</v>
      </c>
      <c r="R9" s="5" t="n">
        <f aca="false" t="array" ref="R9:R9">INDEX(Table8!$B$3:$B$49,MATCH($C9,Table8!$A$3:$A$49,0))</f>
        <v>0.874043973931481</v>
      </c>
      <c r="S9" s="5" t="n">
        <f aca="false" t="array" ref="S9:S9">INDEX(Table8!$D$3:$D$49,MATCH($C9,Table8!$A$3:$A$49,0))</f>
        <v>10.7148618347432</v>
      </c>
      <c r="T9" s="5" t="n">
        <f aca="false">P9/S9</f>
        <v>0.119516913767323</v>
      </c>
      <c r="U9" s="5" t="n">
        <f aca="false">Q9/R9</f>
        <v>17.4780314303235</v>
      </c>
    </row>
    <row r="10" s="1" customFormat="true" ht="15" hidden="false" customHeight="true" outlineLevel="0" collapsed="false">
      <c r="A10" s="1" t="s">
        <v>299</v>
      </c>
      <c r="B10" s="1" t="s">
        <v>144</v>
      </c>
      <c r="C10" s="1" t="s">
        <v>139</v>
      </c>
      <c r="D10" s="5" t="n">
        <f aca="false" t="array" ref="D10:D10">INDEX(Table6!$C$3:$C$51,MATCH($B10,Table6!$A$3:$A$51,0))</f>
        <v>95.16</v>
      </c>
      <c r="E10" s="5" t="n">
        <f aca="false" t="array" ref="E10:E10">INDEX(Table6!$C$3:$C$51,MATCH($C10,Table6!$A$3:$A$51,0))</f>
        <v>85.94</v>
      </c>
      <c r="F10" s="5" t="n">
        <f aca="false" t="array" ref="F10:F10">INDEX(Table6!$K$3:$K$51,MATCH($B10,Table6!$A$3:$A$51,0))</f>
        <v>3.89</v>
      </c>
      <c r="G10" s="5" t="n">
        <f aca="false" t="array" ref="G10:G10">INDEX(Table6!$K$3:$K$51,MATCH($C10,Table6!$A$3:$A$51,0))</f>
        <v>1</v>
      </c>
      <c r="H10" s="3" t="n">
        <f aca="false">(F10/G10)*(E10/D10)</f>
        <v>3.51310004203447</v>
      </c>
      <c r="I10" s="3" t="n">
        <f aca="false" t="array" ref="I10:I10">INDEX(Table7!$E$3:$E$49,MATCH($B10,Table7!$A$3:$A$49,0))/INDEX(Table7!$E$3:$E$49,MATCH($C10,Table7!$A$3:$A$49,0))</f>
        <v>3.51310004203447</v>
      </c>
      <c r="J10" s="3" t="n">
        <v>3.509</v>
      </c>
      <c r="K10" s="8" t="n">
        <f aca="false">J10/H10-1</f>
        <v>-0.00116707238205893</v>
      </c>
      <c r="L10" s="3" t="n">
        <v>3.216</v>
      </c>
      <c r="M10" s="3" t="n">
        <v>3.955</v>
      </c>
      <c r="N10" s="3" t="n">
        <f aca="false">L10/J10</f>
        <v>0.916500427472214</v>
      </c>
      <c r="O10" s="3" t="n">
        <f aca="false">M10/J10</f>
        <v>1.12710173838701</v>
      </c>
      <c r="P10" s="5" t="n">
        <f aca="false" t="array" ref="P10:P10">INDEX(Table8!$B$3:$B$49,MATCH($B10,Table8!$A$3:$A$49,0))</f>
        <v>1.26278052788483</v>
      </c>
      <c r="Q10" s="5" t="n">
        <f aca="false" t="array" ref="Q10:Q10">INDEX(Table8!$D$3:$D$49,MATCH($B10,Table8!$A$3:$A$49,0))</f>
        <v>15.3291800857922</v>
      </c>
      <c r="R10" s="5" t="n">
        <f aca="false" t="array" ref="R10:R10">INDEX(Table8!$B$3:$B$49,MATCH($C10,Table8!$A$3:$A$49,0))</f>
        <v>0.375596406381796</v>
      </c>
      <c r="S10" s="5" t="n">
        <f aca="false" t="array" ref="S10:S10">INDEX(Table8!$D$3:$D$49,MATCH($C10,Table8!$A$3:$A$49,0))</f>
        <v>4.00937239618264</v>
      </c>
      <c r="T10" s="5" t="n">
        <f aca="false">P10/S10</f>
        <v>0.314957156159188</v>
      </c>
      <c r="U10" s="5" t="n">
        <f aca="false">Q10/R10</f>
        <v>40.8129040249921</v>
      </c>
    </row>
    <row r="11" s="1" customFormat="true" ht="15" hidden="false" customHeight="true" outlineLevel="0" collapsed="false">
      <c r="A11" s="1" t="s">
        <v>298</v>
      </c>
      <c r="B11" s="1" t="s">
        <v>144</v>
      </c>
      <c r="C11" s="1" t="s">
        <v>132</v>
      </c>
      <c r="D11" s="5" t="n">
        <f aca="false" t="array" ref="D11:D11">INDEX(Table6!$C$3:$C$51,MATCH($B11,Table6!$A$3:$A$51,0))</f>
        <v>95.16</v>
      </c>
      <c r="E11" s="5" t="n">
        <f aca="false" t="array" ref="E11:E11">INDEX(Table6!$C$3:$C$51,MATCH($C11,Table6!$A$3:$A$51,0))</f>
        <v>154.37</v>
      </c>
      <c r="F11" s="5" t="n">
        <f aca="false" t="array" ref="F11:F11">INDEX(Table6!$K$3:$K$51,MATCH($B11,Table6!$A$3:$A$51,0))</f>
        <v>3.89</v>
      </c>
      <c r="G11" s="5" t="n">
        <f aca="false" t="array" ref="G11:G11">INDEX(Table6!$K$3:$K$51,MATCH($C11,Table6!$A$3:$A$51,0))</f>
        <v>3.7</v>
      </c>
      <c r="H11" s="3" t="n">
        <f aca="false">(F11/G11)*(E11/D11)</f>
        <v>1.70551816002636</v>
      </c>
      <c r="I11" s="3" t="n">
        <f aca="false" t="array" ref="I11:I11">INDEX(Table7!$E$3:$E$49,MATCH($B11,Table7!$A$3:$A$49,0))/INDEX(Table7!$E$3:$E$49,MATCH($C11,Table7!$A$3:$A$49,0))</f>
        <v>1.70551816002636</v>
      </c>
      <c r="J11" s="3" t="n">
        <v>1.706</v>
      </c>
      <c r="K11" s="8" t="n">
        <f aca="false">J11/H11-1</f>
        <v>0.00028251823107861</v>
      </c>
      <c r="L11" s="3" t="n">
        <v>1.54</v>
      </c>
      <c r="M11" s="3" t="n">
        <v>1.947</v>
      </c>
      <c r="N11" s="3" t="n">
        <f aca="false">L11/J11</f>
        <v>0.902696365767878</v>
      </c>
      <c r="O11" s="3" t="n">
        <f aca="false">M11/J11</f>
        <v>1.14126611957796</v>
      </c>
      <c r="P11" s="5" t="n">
        <f aca="false" t="array" ref="P11:P11">INDEX(Table8!$B$3:$B$49,MATCH($B11,Table8!$A$3:$A$49,0))</f>
        <v>1.26278052788483</v>
      </c>
      <c r="Q11" s="5" t="n">
        <f aca="false" t="array" ref="Q11:Q11">INDEX(Table8!$D$3:$D$49,MATCH($B11,Table8!$A$3:$A$49,0))</f>
        <v>15.3291800857922</v>
      </c>
      <c r="R11" s="5" t="n">
        <f aca="false" t="array" ref="R11:R11">INDEX(Table8!$B$3:$B$49,MATCH($C11,Table8!$A$3:$A$49,0))</f>
        <v>0.747400004904971</v>
      </c>
      <c r="S11" s="5" t="n">
        <f aca="false" t="array" ref="S11:S11">INDEX(Table8!$D$3:$D$49,MATCH($C11,Table8!$A$3:$A$49,0))</f>
        <v>8.54511000676132</v>
      </c>
      <c r="T11" s="5" t="n">
        <f aca="false">P11/S11</f>
        <v>0.14777814760555</v>
      </c>
      <c r="U11" s="5" t="n">
        <f aca="false">Q11/R11</f>
        <v>20.5100080080161</v>
      </c>
    </row>
    <row r="12" s="1" customFormat="true" ht="15" hidden="false" customHeight="true" outlineLevel="0" collapsed="false">
      <c r="A12" s="1" t="s">
        <v>298</v>
      </c>
      <c r="B12" s="1" t="s">
        <v>144</v>
      </c>
      <c r="C12" s="1" t="s">
        <v>138</v>
      </c>
      <c r="D12" s="5" t="n">
        <f aca="false" t="array" ref="D12:D12">INDEX(Table6!$C$3:$C$51,MATCH($B12,Table6!$A$3:$A$51,0))</f>
        <v>95.16</v>
      </c>
      <c r="E12" s="5" t="n">
        <f aca="false" t="array" ref="E12:E12">INDEX(Table6!$C$3:$C$51,MATCH($C12,Table6!$A$3:$A$51,0))</f>
        <v>145.78</v>
      </c>
      <c r="F12" s="5" t="n">
        <f aca="false" t="array" ref="F12:F12">INDEX(Table6!$K$3:$K$51,MATCH($B12,Table6!$A$3:$A$51,0))</f>
        <v>3.89</v>
      </c>
      <c r="G12" s="5" t="n">
        <f aca="false" t="array" ref="G12:G12">INDEX(Table6!$K$3:$K$51,MATCH($C12,Table6!$A$3:$A$51,0))</f>
        <v>12.49</v>
      </c>
      <c r="H12" s="3" t="n">
        <f aca="false">(F12/G12)*(E12/D12)</f>
        <v>0.477123354841923</v>
      </c>
      <c r="I12" s="3" t="n">
        <f aca="false" t="array" ref="I12:I12">INDEX(Table7!$E$3:$E$49,MATCH($B12,Table7!$A$3:$A$49,0))/INDEX(Table7!$E$3:$E$49,MATCH($C12,Table7!$A$3:$A$49,0))</f>
        <v>0.477123354841923</v>
      </c>
      <c r="J12" s="3" t="n">
        <v>0.476</v>
      </c>
      <c r="K12" s="8" t="n">
        <f aca="false">J12/H12-1</f>
        <v>-0.00235443272797953</v>
      </c>
      <c r="L12" s="3" t="n">
        <v>0.36</v>
      </c>
      <c r="M12" s="3" t="n">
        <v>0.667</v>
      </c>
      <c r="N12" s="3" t="n">
        <f aca="false">L12/J12</f>
        <v>0.756302521008403</v>
      </c>
      <c r="O12" s="3" t="n">
        <f aca="false">M12/J12</f>
        <v>1.40126050420168</v>
      </c>
      <c r="P12" s="5" t="n">
        <f aca="false" t="array" ref="P12:P12">INDEX(Table8!$B$3:$B$49,MATCH($B12,Table8!$A$3:$A$49,0))</f>
        <v>1.26278052788483</v>
      </c>
      <c r="Q12" s="5" t="n">
        <f aca="false" t="array" ref="Q12:Q12">INDEX(Table8!$D$3:$D$49,MATCH($B12,Table8!$A$3:$A$49,0))</f>
        <v>15.3291800857922</v>
      </c>
      <c r="R12" s="5" t="n">
        <f aca="false" t="array" ref="R12:R12">INDEX(Table8!$B$3:$B$49,MATCH($C12,Table8!$A$3:$A$49,0))</f>
        <v>2.06782784543762</v>
      </c>
      <c r="S12" s="5" t="n">
        <f aca="false" t="array" ref="S12:S12">INDEX(Table8!$D$3:$D$49,MATCH($C12,Table8!$A$3:$A$49,0))</f>
        <v>39.0813161249998</v>
      </c>
      <c r="T12" s="5" t="n">
        <f aca="false">P12/S12</f>
        <v>0.0323116172404708</v>
      </c>
      <c r="U12" s="5" t="n">
        <f aca="false">Q12/R12</f>
        <v>7.4131800283152</v>
      </c>
    </row>
    <row r="13" s="1" customFormat="true" ht="15" hidden="false" customHeight="true" outlineLevel="0" collapsed="false">
      <c r="A13" s="1" t="s">
        <v>298</v>
      </c>
      <c r="B13" s="1" t="s">
        <v>150</v>
      </c>
      <c r="C13" s="1" t="s">
        <v>167</v>
      </c>
      <c r="D13" s="5" t="n">
        <f aca="false" t="array" ref="D13:D13">INDEX(Table6!$C$3:$C$51,MATCH($B13,Table6!$A$3:$A$51,0))</f>
        <v>59.91</v>
      </c>
      <c r="E13" s="5" t="n">
        <f aca="false" t="array" ref="E13:E13">INDEX(Table6!$C$3:$C$51,MATCH($C13,Table6!$A$3:$A$51,0))</f>
        <v>95.22</v>
      </c>
      <c r="F13" s="5" t="n">
        <f aca="false" t="array" ref="F13:F13">INDEX(Table6!$K$3:$K$51,MATCH($B13,Table6!$A$3:$A$51,0))</f>
        <v>2.46</v>
      </c>
      <c r="G13" s="5" t="n">
        <f aca="false" t="array" ref="G13:G13">INDEX(Table6!$K$3:$K$51,MATCH($C13,Table6!$A$3:$A$51,0))</f>
        <v>1.68</v>
      </c>
      <c r="H13" s="3" t="n">
        <f aca="false">(F13/G13)*(E13/D13)</f>
        <v>2.32731239716718</v>
      </c>
      <c r="I13" s="3" t="n">
        <f aca="false" t="array" ref="I13:I13">INDEX(Table7!$E$3:$E$49,MATCH($B13,Table7!$A$3:$A$49,0))/INDEX(Table7!$E$3:$E$49,MATCH($C13,Table7!$A$3:$A$49,0))</f>
        <v>2.32731239716718</v>
      </c>
      <c r="J13" s="3" t="n">
        <v>2.321</v>
      </c>
      <c r="K13" s="8" t="n">
        <f aca="false">J13/H13-1</f>
        <v>-0.00271231192463162</v>
      </c>
      <c r="L13" s="3" t="n">
        <v>2.174</v>
      </c>
      <c r="M13" s="3" t="n">
        <v>2.582</v>
      </c>
      <c r="N13" s="3" t="n">
        <f aca="false">L13/J13</f>
        <v>0.936665230504093</v>
      </c>
      <c r="O13" s="3" t="n">
        <f aca="false">M13/J13</f>
        <v>1.11245152951314</v>
      </c>
      <c r="P13" s="5" t="n">
        <f aca="false" t="array" ref="P13:P13">INDEX(Table8!$B$3:$B$49,MATCH($B13,Table8!$A$3:$A$49,0))</f>
        <v>1.28060721793178</v>
      </c>
      <c r="Q13" s="5" t="n">
        <f aca="false" t="array" ref="Q13:Q13">INDEX(Table8!$D$3:$D$49,MATCH($B13,Table8!$A$3:$A$49,0))</f>
        <v>15.2765680478593</v>
      </c>
      <c r="R13" s="5" t="n">
        <f aca="false" t="array" ref="R13:R13">INDEX(Table8!$B$3:$B$49,MATCH($C13,Table8!$A$3:$A$49,0))</f>
        <v>0.554045870175646</v>
      </c>
      <c r="S13" s="5" t="n">
        <f aca="false" t="array" ref="S13:S13">INDEX(Table8!$D$3:$D$49,MATCH($C13,Table8!$A$3:$A$49,0))</f>
        <v>6.1005931075237</v>
      </c>
      <c r="T13" s="5" t="n">
        <f aca="false">P13/S13</f>
        <v>0.209915199286516</v>
      </c>
      <c r="U13" s="5" t="n">
        <f aca="false">Q13/R13</f>
        <v>27.5727496046785</v>
      </c>
    </row>
    <row r="14" s="1" customFormat="true" ht="15" hidden="false" customHeight="true" outlineLevel="0" collapsed="false"/>
    <row r="15" s="1" customFormat="true" ht="15" hidden="false" customHeight="true" outlineLevel="0" collapsed="false"/>
    <row r="16" s="1" customFormat="true" ht="15" hidden="false" customHeight="true" outlineLevel="0" collapsed="false">
      <c r="A16" s="2" t="s">
        <v>300</v>
      </c>
    </row>
    <row r="17" s="1" customFormat="true" ht="57.75" hidden="false" customHeight="true" outlineLevel="0" collapsed="false">
      <c r="A17" s="2" t="s">
        <v>301</v>
      </c>
      <c r="B17" s="13" t="s">
        <v>302</v>
      </c>
      <c r="C17" s="13"/>
      <c r="D17" s="13"/>
      <c r="E17" s="13"/>
      <c r="F17" s="13"/>
      <c r="G17" s="13"/>
      <c r="H17" s="13"/>
      <c r="I17" s="13"/>
      <c r="J17" s="13"/>
      <c r="K17" s="13"/>
      <c r="L17" s="13"/>
      <c r="M17" s="13"/>
      <c r="N17" s="13"/>
      <c r="O17" s="13"/>
      <c r="P17" s="13"/>
      <c r="Q17" s="13"/>
      <c r="R17" s="13"/>
      <c r="S17" s="13"/>
      <c r="T17" s="13"/>
      <c r="U17" s="13"/>
    </row>
    <row r="18" s="1" customFormat="true" ht="57.75" hidden="false" customHeight="true" outlineLevel="0" collapsed="false">
      <c r="A18" s="2" t="s">
        <v>303</v>
      </c>
      <c r="B18" s="13" t="s">
        <v>304</v>
      </c>
      <c r="C18" s="13"/>
      <c r="D18" s="13"/>
      <c r="E18" s="13"/>
      <c r="F18" s="13"/>
      <c r="G18" s="13"/>
      <c r="H18" s="13"/>
      <c r="I18" s="13"/>
      <c r="J18" s="13"/>
      <c r="K18" s="13"/>
      <c r="L18" s="13"/>
      <c r="M18" s="13"/>
      <c r="N18" s="13"/>
      <c r="O18" s="13"/>
      <c r="P18" s="13"/>
      <c r="Q18" s="13"/>
      <c r="R18" s="13"/>
      <c r="S18" s="13"/>
      <c r="T18" s="13"/>
      <c r="U18" s="13"/>
    </row>
    <row r="19" s="1" customFormat="true" ht="57.75" hidden="false" customHeight="true" outlineLevel="0" collapsed="false">
      <c r="A19" s="2" t="s">
        <v>305</v>
      </c>
      <c r="B19" s="13" t="s">
        <v>306</v>
      </c>
      <c r="C19" s="13"/>
      <c r="D19" s="13"/>
      <c r="E19" s="13"/>
      <c r="F19" s="13"/>
      <c r="G19" s="13"/>
      <c r="H19" s="13"/>
      <c r="I19" s="13"/>
      <c r="J19" s="13"/>
      <c r="K19" s="13"/>
      <c r="L19" s="13"/>
      <c r="M19" s="13"/>
      <c r="N19" s="13"/>
      <c r="O19" s="13"/>
      <c r="P19" s="13"/>
      <c r="Q19" s="13"/>
      <c r="R19" s="13"/>
      <c r="S19" s="13"/>
      <c r="T19" s="13"/>
      <c r="U19" s="13"/>
    </row>
    <row r="20" s="1" customFormat="true" ht="57.75" hidden="false" customHeight="true" outlineLevel="0" collapsed="false">
      <c r="A20" s="2" t="s">
        <v>307</v>
      </c>
      <c r="B20" s="13" t="s">
        <v>308</v>
      </c>
      <c r="C20" s="13"/>
      <c r="D20" s="13"/>
      <c r="E20" s="13"/>
      <c r="F20" s="13"/>
      <c r="G20" s="13"/>
      <c r="H20" s="13"/>
      <c r="I20" s="13"/>
      <c r="J20" s="13"/>
      <c r="K20" s="13"/>
      <c r="L20" s="13"/>
      <c r="M20" s="13"/>
      <c r="N20" s="13"/>
      <c r="O20" s="13"/>
      <c r="P20" s="13"/>
      <c r="Q20" s="13"/>
      <c r="R20" s="13"/>
      <c r="S20" s="13"/>
      <c r="T20" s="13"/>
      <c r="U20" s="13"/>
    </row>
    <row r="21" s="1" customFormat="true" ht="57.75" hidden="false" customHeight="true" outlineLevel="0" collapsed="false">
      <c r="A21" s="2" t="s">
        <v>309</v>
      </c>
      <c r="B21" s="13" t="s">
        <v>310</v>
      </c>
      <c r="C21" s="13"/>
      <c r="D21" s="13"/>
      <c r="E21" s="13"/>
      <c r="F21" s="13"/>
      <c r="G21" s="13"/>
      <c r="H21" s="13"/>
      <c r="I21" s="13"/>
      <c r="J21" s="13"/>
      <c r="K21" s="13"/>
      <c r="L21" s="13"/>
      <c r="M21" s="13"/>
      <c r="N21" s="13"/>
      <c r="O21" s="13"/>
      <c r="P21" s="13"/>
      <c r="Q21" s="13"/>
      <c r="R21" s="13"/>
      <c r="S21" s="13"/>
      <c r="T21" s="13"/>
      <c r="U21" s="13"/>
    </row>
    <row r="22" s="1" customFormat="true" ht="57.75" hidden="false" customHeight="true" outlineLevel="0" collapsed="false">
      <c r="A22" s="2" t="s">
        <v>311</v>
      </c>
      <c r="B22" s="13" t="s">
        <v>312</v>
      </c>
      <c r="C22" s="13"/>
      <c r="D22" s="13"/>
      <c r="E22" s="13"/>
      <c r="F22" s="13"/>
      <c r="G22" s="13"/>
      <c r="H22" s="13"/>
      <c r="I22" s="13"/>
      <c r="J22" s="13"/>
      <c r="K22" s="13"/>
      <c r="L22" s="13"/>
      <c r="M22" s="13"/>
      <c r="N22" s="13"/>
      <c r="O22" s="13"/>
      <c r="P22" s="13"/>
      <c r="Q22" s="13"/>
      <c r="R22" s="13"/>
      <c r="S22" s="13"/>
      <c r="T22" s="13"/>
      <c r="U22" s="13"/>
    </row>
    <row r="23" s="1" customFormat="true" ht="57.75" hidden="false" customHeight="true" outlineLevel="0" collapsed="false">
      <c r="A23" s="2" t="s">
        <v>313</v>
      </c>
      <c r="B23" s="13" t="s">
        <v>314</v>
      </c>
      <c r="C23" s="13"/>
      <c r="D23" s="13"/>
      <c r="E23" s="13"/>
      <c r="F23" s="13"/>
      <c r="G23" s="13"/>
      <c r="H23" s="13"/>
      <c r="I23" s="13"/>
      <c r="J23" s="13"/>
      <c r="K23" s="13"/>
      <c r="L23" s="13"/>
      <c r="M23" s="13"/>
      <c r="N23" s="13"/>
      <c r="O23" s="13"/>
      <c r="P23" s="13"/>
      <c r="Q23" s="13"/>
      <c r="R23" s="13"/>
      <c r="S23" s="13"/>
      <c r="T23" s="13"/>
      <c r="U23" s="13"/>
    </row>
  </sheetData>
  <mergeCells count="8">
    <mergeCell ref="A1:U1"/>
    <mergeCell ref="B17:U17"/>
    <mergeCell ref="B18:U18"/>
    <mergeCell ref="B19:U19"/>
    <mergeCell ref="B20:U20"/>
    <mergeCell ref="B21:U21"/>
    <mergeCell ref="B22:U22"/>
    <mergeCell ref="B23:U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 min="1" style="1" width="58"/>
    <col collapsed="false" customWidth="true" hidden="false" outlineLevel="0" max="5" min="2" style="1" width="16"/>
    <col collapsed="false" customWidth="true" hidden="false" outlineLevel="0" max="7" min="6" style="1" width="8.71"/>
  </cols>
  <sheetData>
    <row r="1" s="1" customFormat="true" ht="15" hidden="false" customHeight="true" outlineLevel="0" collapsed="false">
      <c r="A1" s="2" t="s">
        <v>315</v>
      </c>
    </row>
    <row r="2" s="1" customFormat="true" ht="15" hidden="false" customHeight="true" outlineLevel="0" collapsed="false"/>
    <row r="3" s="1" customFormat="true" ht="15" hidden="false" customHeight="true" outlineLevel="0" collapsed="false">
      <c r="B3" s="2" t="s">
        <v>316</v>
      </c>
      <c r="C3" s="2" t="s">
        <v>317</v>
      </c>
    </row>
    <row r="4" s="1" customFormat="true" ht="15" hidden="false" customHeight="true" outlineLevel="0" collapsed="false">
      <c r="A4" s="1" t="s">
        <v>318</v>
      </c>
      <c r="B4" s="3" t="n">
        <v>0.577</v>
      </c>
      <c r="C4" s="3" t="n">
        <v>0.423</v>
      </c>
    </row>
    <row r="5" s="1" customFormat="true" ht="15" hidden="false" customHeight="true" outlineLevel="0" collapsed="false">
      <c r="A5" s="1" t="s">
        <v>319</v>
      </c>
      <c r="B5" s="3" t="n">
        <v>3.098</v>
      </c>
      <c r="C5" s="3" t="n">
        <v>2.875</v>
      </c>
    </row>
    <row r="6" s="1" customFormat="true" ht="15" hidden="false" customHeight="true" outlineLevel="0" collapsed="false">
      <c r="A6" s="1" t="s">
        <v>320</v>
      </c>
      <c r="B6" s="6" t="n">
        <f aca="false">(B5-5*B4)/9500*1000</f>
        <v>0.022421052631579</v>
      </c>
      <c r="C6" s="6" t="n">
        <f aca="false">(C5-5*C4)/9500*1000</f>
        <v>0.08</v>
      </c>
    </row>
    <row r="7" s="1" customFormat="true" ht="15" hidden="false" customHeight="true" outlineLevel="0" collapsed="false">
      <c r="A7" s="1" t="s">
        <v>321</v>
      </c>
      <c r="B7" s="3" t="n">
        <f aca="false">(B4-100*B6/1000)/300*1000</f>
        <v>1.91585964912281</v>
      </c>
      <c r="C7" s="3" t="n">
        <f aca="false">(C4-100*C6/1000)/300*1000</f>
        <v>1.38333333333333</v>
      </c>
    </row>
    <row r="8" s="1" customFormat="true" ht="15" hidden="false" customHeight="true" outlineLevel="0" collapsed="false">
      <c r="A8" s="1" t="s">
        <v>322</v>
      </c>
      <c r="B8" s="6" t="n">
        <f aca="false">B6/B7</f>
        <v>0.0117028680268122</v>
      </c>
      <c r="C8" s="6" t="n">
        <f aca="false">C6/C7</f>
        <v>0.0578313253012048</v>
      </c>
    </row>
    <row r="9" s="1" customFormat="true" ht="15" hidden="false" customHeight="true" outlineLevel="0" collapsed="false">
      <c r="A9" s="1" t="s">
        <v>323</v>
      </c>
      <c r="B9" s="8" t="n">
        <f aca="false">100*B6/1000/B4</f>
        <v>0.00388579768311594</v>
      </c>
      <c r="C9" s="8" t="n">
        <f aca="false">100*C6/1000/C4</f>
        <v>0.0189125295508274</v>
      </c>
    </row>
    <row r="10" s="1" customFormat="true" ht="15" hidden="false" customHeight="true" outlineLevel="0" collapsed="false">
      <c r="A10" s="1" t="s">
        <v>324</v>
      </c>
    </row>
    <row r="11" s="1" customFormat="true" ht="15" hidden="false" customHeight="true" outlineLevel="0" collapsed="false"/>
    <row r="12" s="1" customFormat="true" ht="15" hidden="false" customHeight="true" outlineLevel="0" collapsed="false">
      <c r="A12" s="2" t="s">
        <v>325</v>
      </c>
    </row>
    <row r="13" s="1" customFormat="true" ht="15" hidden="false" customHeight="true" outlineLevel="0" collapsed="false">
      <c r="A13" s="2" t="s">
        <v>326</v>
      </c>
      <c r="B13" s="2" t="s">
        <v>327</v>
      </c>
      <c r="C13" s="2" t="s">
        <v>328</v>
      </c>
      <c r="D13" s="2" t="s">
        <v>329</v>
      </c>
      <c r="E13" s="2" t="s">
        <v>330</v>
      </c>
      <c r="F13" s="2" t="s">
        <v>331</v>
      </c>
    </row>
    <row r="14" s="1" customFormat="true" ht="15" hidden="false" customHeight="true" outlineLevel="0" collapsed="false">
      <c r="A14" s="1" t="s">
        <v>332</v>
      </c>
      <c r="B14" s="7" t="n">
        <v>100</v>
      </c>
      <c r="C14" s="7" t="n">
        <v>300</v>
      </c>
      <c r="D14" s="5" t="n">
        <v>1</v>
      </c>
      <c r="E14" s="5" t="n">
        <f aca="false">(1+$B$8*B14/(D14*C14))/(1+$B$8/3)</f>
        <v>1</v>
      </c>
      <c r="F14" s="5" t="n">
        <f aca="false">(1+$C$8*B14/(D14*C14))/(1+$C$8/3)</f>
        <v>1</v>
      </c>
    </row>
    <row r="15" s="1" customFormat="true" ht="15" hidden="false" customHeight="true" outlineLevel="0" collapsed="false">
      <c r="A15" s="1" t="s">
        <v>333</v>
      </c>
      <c r="B15" s="7" t="n">
        <v>1000</v>
      </c>
      <c r="C15" s="7" t="n">
        <v>1000</v>
      </c>
      <c r="D15" s="5" t="n">
        <v>1</v>
      </c>
      <c r="E15" s="5" t="n">
        <f aca="false">(1+$B$8*B15/(D15*C15))/(1+$B$8/3)</f>
        <v>1.00777159536623</v>
      </c>
      <c r="F15" s="5" t="n">
        <f aca="false">(1+$C$8*B15/(D15*C15))/(1+$C$8/3)</f>
        <v>1.03782505910166</v>
      </c>
    </row>
    <row r="16" s="1" customFormat="true" ht="15" hidden="false" customHeight="true" outlineLevel="0" collapsed="false">
      <c r="A16" s="1" t="s">
        <v>334</v>
      </c>
      <c r="B16" s="7" t="n">
        <v>10000</v>
      </c>
      <c r="C16" s="7" t="n">
        <v>1500</v>
      </c>
      <c r="D16" s="5" t="n">
        <v>1</v>
      </c>
      <c r="E16" s="5" t="n">
        <f aca="false">(1+$B$8*B16/(D16*C16))/(1+$B$8/3)</f>
        <v>1.0738301559792</v>
      </c>
      <c r="F16" s="5" t="n">
        <f aca="false">(1+$C$8*B16/(D16*C16))/(1+$C$8/3)</f>
        <v>1.35933806146572</v>
      </c>
    </row>
    <row r="17" s="1" customFormat="true" ht="15" hidden="false" customHeight="true" outlineLevel="0" collapsed="false">
      <c r="A17" s="1" t="s">
        <v>335</v>
      </c>
      <c r="B17" s="7" t="n">
        <v>50000</v>
      </c>
      <c r="C17" s="7" t="n">
        <v>1000</v>
      </c>
      <c r="D17" s="5" t="n">
        <f aca="false">Corpus!H42</f>
        <v>1.64</v>
      </c>
      <c r="E17" s="5" t="n">
        <f aca="false">(1+$B$8*B17/(D17*C17))/(1+$B$8/3)</f>
        <v>1.35152252699212</v>
      </c>
      <c r="F17" s="5" t="n">
        <f aca="false">(1+$C$8*B17/(D17*C17))/(1+$C$8/3)</f>
        <v>2.71089200253705</v>
      </c>
    </row>
    <row r="18" s="1" customFormat="true" ht="15" hidden="false" customHeight="true" outlineLevel="0" collapsed="false"/>
    <row r="19" s="1" customFormat="true" ht="15" hidden="false" customHeight="true" outlineLevel="0" collapsed="false">
      <c r="A19" s="2" t="s">
        <v>336</v>
      </c>
    </row>
    <row r="20" s="1" customFormat="true" ht="15" hidden="false" customHeight="true" outlineLevel="0" collapsed="false">
      <c r="A20" s="2"/>
      <c r="B20" s="2" t="s">
        <v>337</v>
      </c>
      <c r="C20" s="2" t="s">
        <v>338</v>
      </c>
      <c r="D20" s="2" t="s">
        <v>339</v>
      </c>
      <c r="E20" s="2" t="s">
        <v>340</v>
      </c>
      <c r="F20" s="2" t="s">
        <v>341</v>
      </c>
      <c r="G20" s="2" t="s">
        <v>342</v>
      </c>
    </row>
    <row r="21" s="1" customFormat="true" ht="15.75" hidden="false" customHeight="true" outlineLevel="0" collapsed="false">
      <c r="A21" s="1" t="s">
        <v>343</v>
      </c>
      <c r="B21" s="5" t="n">
        <f aca="false">Table8!B42*1000/1000*$E$17</f>
        <v>1.31696654892649</v>
      </c>
      <c r="C21" s="5" t="n">
        <f aca="false">Table8!C42*1000/1000*$E$17</f>
        <v>6.89780405429492</v>
      </c>
      <c r="D21" s="5" t="n">
        <f aca="false">Table8!D42*1000/1000*$E$17</f>
        <v>14.2897676061392</v>
      </c>
      <c r="E21" s="5" t="n">
        <f aca="false">Table8!E42*1000/1000*$E$17</f>
        <v>0.1925084247156</v>
      </c>
      <c r="F21" s="5" t="n">
        <f aca="false">Table8!F42*1000/1000*$E$17</f>
        <v>1.00829090425388</v>
      </c>
      <c r="G21" s="5" t="n">
        <f aca="false">Table8!G42*1000/1000*$E$17</f>
        <v>2.08881588803622</v>
      </c>
    </row>
    <row r="22" s="1" customFormat="true" ht="15.75" hidden="false" customHeight="true" outlineLevel="0" collapsed="false">
      <c r="A22" s="1" t="s">
        <v>344</v>
      </c>
      <c r="B22" s="15" t="n">
        <f aca="false">B8*(12.49-1)/(3*12.49)</f>
        <v>0.00358862966714898</v>
      </c>
      <c r="C22" s="15" t="n">
        <f aca="false">C8*(12.49-1)/(3*12.49)</f>
        <v>0.0177337050363182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2026-09-21T12:39:15Z</dcterms:created>
  <dc:creator>openpyxl</dc:creator>
  <dc:description/>
  <dc:language>en-GB</dc:language>
  <cp:lastModifiedBy/>
  <dcterms:modified xsi:type="dcterms:W3CDTF">2026-09-21T12:44:47Z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