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UE" sheetId="1" r:id="rId5"/>
  </sheets>
  <definedNames/>
  <calcPr/>
</workbook>
</file>

<file path=xl/sharedStrings.xml><?xml version="1.0" encoding="utf-8"?>
<sst xmlns="http://schemas.openxmlformats.org/spreadsheetml/2006/main" count="27" uniqueCount="27">
  <si>
    <t>OpenAI PUE Multiplier Calculation — InferenceCarbon framework v3_9x6_1 (data close 22 Aug 2026)</t>
  </si>
  <si>
    <t>Reproduces Table 6. Inputs (blue) from paper Sections 4.5 (routing) and Appendix A (PUE). Formulas in black.</t>
  </si>
  <si>
    <t>Legend: BLUE = editable input. Anchor PUE 1.12 is Jegham et al. [15] implicit Azure design PUE.</t>
  </si>
  <si>
    <t>Provider</t>
  </si>
  <si>
    <t>Routing share</t>
  </si>
  <si>
    <t>PUE (Low)</t>
  </si>
  <si>
    <t>Contribution (Low)</t>
  </si>
  <si>
    <t>PUE (Central)</t>
  </si>
  <si>
    <t>Contribution (Central)</t>
  </si>
  <si>
    <t>PUE (High)</t>
  </si>
  <si>
    <t>Contribution (High)</t>
  </si>
  <si>
    <t>Microsoft Azure</t>
  </si>
  <si>
    <t>Appendix A.1 [75]: operating PUE 1.16 (Americas, 2025)</t>
  </si>
  <si>
    <t>Oracle/Stargate</t>
  </si>
  <si>
    <t>Appendix A.4 [58]: no operating disclosure; central 1.25 within Crusoe design range 1.2-1.4</t>
  </si>
  <si>
    <t>Amazon Web Services</t>
  </si>
  <si>
    <t>Appendix A.3 [77]: global 2024 (2025 report states 1.14)</t>
  </si>
  <si>
    <t>Google Cloud Platform</t>
  </si>
  <si>
    <t>Appendix A.2 [17]: fleet-wide 2024</t>
  </si>
  <si>
    <t>Routing share total</t>
  </si>
  <si>
    <t>Aggregated PUE</t>
  </si>
  <si>
    <t>Jegham anchor PUE (reversed out)</t>
  </si>
  <si>
    <t>Absolute PUE Multiplier (= Aggregated / 1.12)</t>
  </si>
  <si>
    <t>Relative PUE Multiplier (bounds around central)</t>
  </si>
  <si>
    <t>Routing shares: contract-value-weighted proxy, Section 4.5 (Azure $35.7B/yr, Stargate $60B/yr, AWS $17.9B/yr, GCP $39.0B/yr assumed midpoint). Shares sum to 99.9% due to rounding in the paper; contributions use the stated shares.</t>
  </si>
  <si>
    <t>Central Absolute PUE Multiplier feeds Table 7; Relative Multiplier bounds (P_low/P_high) feed Section 4.11.8 and Table 9.</t>
  </si>
  <si>
    <t>Values recomputed 23 Aug 2026 against paper v3_9x6_1. Copyright (c) 2026 InferenceCarbon Ltd.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</si>
</sst>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%"/>
    <numFmt numFmtId="165" formatCode="0.000"/>
  </numFmts>
  <fonts count="4">
    <font>
      <sz val="11.0"/>
      <color theme="1"/>
      <name val="Calibri"/>
      <scheme val="minor"/>
    </font>
    <font>
      <b/>
      <sz val="11.0"/>
      <color theme="1"/>
      <name val="Arial"/>
    </font>
    <font>
      <sz val="11.0"/>
      <color theme="1"/>
      <name val="Arial"/>
    </font>
    <font>
      <sz val="11.0"/>
      <color rgb="FF0000FF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164" xfId="0" applyAlignment="1" applyFont="1" applyNumberFormat="1">
      <alignment shrinkToFit="0" vertical="bottom" wrapText="0"/>
    </xf>
    <xf borderId="0" fillId="0" fontId="3" numFmtId="2" xfId="0" applyAlignment="1" applyFont="1" applyNumberFormat="1">
      <alignment shrinkToFit="0" vertical="bottom" wrapText="0"/>
    </xf>
    <xf borderId="0" fillId="0" fontId="2" numFmtId="165" xfId="0" applyAlignment="1" applyFont="1" applyNumberFormat="1">
      <alignment shrinkToFit="0" vertical="bottom" wrapText="0"/>
    </xf>
    <xf borderId="0" fillId="0" fontId="2" numFmtId="164" xfId="0" applyAlignment="1" applyFont="1" applyNumberFormat="1">
      <alignment shrinkToFit="0" vertical="bottom" wrapText="0"/>
    </xf>
    <xf borderId="0" fillId="0" fontId="2" numFmtId="2" xfId="0" applyAlignment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2.0"/>
    <col customWidth="1" min="2" max="2" width="13.0"/>
    <col customWidth="1" min="3" max="3" width="10.0"/>
    <col customWidth="1" min="4" max="4" width="16.0"/>
    <col customWidth="1" min="5" max="5" width="12.0"/>
    <col customWidth="1" min="6" max="6" width="19.0"/>
    <col customWidth="1" min="7" max="7" width="10.0"/>
    <col customWidth="1" min="8" max="8" width="16.0"/>
    <col customWidth="1" min="9" max="9" width="80.0"/>
    <col customWidth="1" min="10" max="26" width="8.71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9</v>
      </c>
      <c r="H5" s="1" t="s">
        <v>10</v>
      </c>
    </row>
    <row r="6">
      <c r="A6" s="2" t="s">
        <v>11</v>
      </c>
      <c r="B6" s="3">
        <v>0.234</v>
      </c>
      <c r="C6" s="4">
        <v>1.16</v>
      </c>
      <c r="D6" s="5">
        <f t="shared" ref="D6:D9" si="1">B6*C6</f>
        <v>0.27144</v>
      </c>
      <c r="E6" s="4">
        <v>1.16</v>
      </c>
      <c r="F6" s="5">
        <f t="shared" ref="F6:F9" si="2">B6*E6</f>
        <v>0.27144</v>
      </c>
      <c r="G6" s="4">
        <v>1.16</v>
      </c>
      <c r="H6" s="5">
        <f t="shared" ref="H6:H9" si="3">B6*G6</f>
        <v>0.27144</v>
      </c>
      <c r="I6" s="2" t="s">
        <v>12</v>
      </c>
    </row>
    <row r="7">
      <c r="A7" s="2" t="s">
        <v>13</v>
      </c>
      <c r="B7" s="3">
        <v>0.393</v>
      </c>
      <c r="C7" s="4">
        <v>1.1</v>
      </c>
      <c r="D7" s="5">
        <f t="shared" si="1"/>
        <v>0.4323</v>
      </c>
      <c r="E7" s="4">
        <v>1.25</v>
      </c>
      <c r="F7" s="5">
        <f t="shared" si="2"/>
        <v>0.49125</v>
      </c>
      <c r="G7" s="4">
        <v>1.35</v>
      </c>
      <c r="H7" s="5">
        <f t="shared" si="3"/>
        <v>0.53055</v>
      </c>
      <c r="I7" s="2" t="s">
        <v>14</v>
      </c>
    </row>
    <row r="8">
      <c r="A8" s="2" t="s">
        <v>15</v>
      </c>
      <c r="B8" s="3">
        <v>0.117</v>
      </c>
      <c r="C8" s="4">
        <v>1.15</v>
      </c>
      <c r="D8" s="5">
        <f t="shared" si="1"/>
        <v>0.13455</v>
      </c>
      <c r="E8" s="4">
        <v>1.15</v>
      </c>
      <c r="F8" s="5">
        <f t="shared" si="2"/>
        <v>0.13455</v>
      </c>
      <c r="G8" s="4">
        <v>1.15</v>
      </c>
      <c r="H8" s="5">
        <f t="shared" si="3"/>
        <v>0.13455</v>
      </c>
      <c r="I8" s="2" t="s">
        <v>16</v>
      </c>
    </row>
    <row r="9">
      <c r="A9" s="2" t="s">
        <v>17</v>
      </c>
      <c r="B9" s="3">
        <v>0.255</v>
      </c>
      <c r="C9" s="4">
        <v>1.09</v>
      </c>
      <c r="D9" s="5">
        <f t="shared" si="1"/>
        <v>0.27795</v>
      </c>
      <c r="E9" s="4">
        <v>1.09</v>
      </c>
      <c r="F9" s="5">
        <f t="shared" si="2"/>
        <v>0.27795</v>
      </c>
      <c r="G9" s="4">
        <v>1.09</v>
      </c>
      <c r="H9" s="5">
        <f t="shared" si="3"/>
        <v>0.27795</v>
      </c>
      <c r="I9" s="2" t="s">
        <v>18</v>
      </c>
    </row>
    <row r="10">
      <c r="A10" s="1" t="s">
        <v>19</v>
      </c>
      <c r="B10" s="6">
        <f>SUM(B6:B9)</f>
        <v>0.999</v>
      </c>
    </row>
    <row r="11">
      <c r="A11" s="1" t="s">
        <v>20</v>
      </c>
      <c r="D11" s="5">
        <f>SUM(D6:D9)</f>
        <v>1.11624</v>
      </c>
      <c r="F11" s="5">
        <f>SUM(F6:F9)</f>
        <v>1.17519</v>
      </c>
      <c r="H11" s="5">
        <f>SUM(H6:H9)</f>
        <v>1.21449</v>
      </c>
    </row>
    <row r="12">
      <c r="A12" s="1" t="s">
        <v>21</v>
      </c>
      <c r="B12" s="4">
        <v>1.12</v>
      </c>
    </row>
    <row r="13">
      <c r="A13" s="1" t="s">
        <v>22</v>
      </c>
      <c r="D13" s="7">
        <f>D11/$B$12</f>
        <v>0.9966428571</v>
      </c>
      <c r="F13" s="7">
        <f>F11/$B$12</f>
        <v>1.049276786</v>
      </c>
      <c r="H13" s="7">
        <f>H11/$B$12</f>
        <v>1.084366071</v>
      </c>
    </row>
    <row r="14">
      <c r="A14" s="1" t="s">
        <v>23</v>
      </c>
      <c r="D14" s="7">
        <f>D13/$F$13</f>
        <v>0.9498378986</v>
      </c>
      <c r="F14" s="7">
        <f>F13/$F$13</f>
        <v>1</v>
      </c>
      <c r="H14" s="7">
        <f>H13/$F$13</f>
        <v>1.033441401</v>
      </c>
    </row>
    <row r="16">
      <c r="A16" s="2" t="s">
        <v>24</v>
      </c>
    </row>
    <row r="17">
      <c r="A17" s="2" t="s">
        <v>25</v>
      </c>
    </row>
    <row r="18">
      <c r="A18" s="2" t="s">
        <v>26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