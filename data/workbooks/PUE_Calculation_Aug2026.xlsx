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<sst xmlns="http://schemas.openxmlformats.org/spreadsheetml/2006/main" count="27" uniqueCount="27">
  <si>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OpenAI PUE Multiplier Calculation — InferenceCarbon framework v1.0.0 (data close 22 Aug 2026)</t>
  </si>
  <si>
    <t xml:space="preserve">Reproduces Table D1 (Appendix D.4). Inputs from paper Section 4.5 (routing) and Appendix A (PUE). Typed values are inputs; every other number is a formula.</t>
  </si>
  <si>
    <t xml:space="preserve">Anchor PUE 1.12 is Jegham et al. [15] implicit Azure design PUE.</t>
  </si>
  <si>
    <t xml:space="preserve">Provider</t>
  </si>
  <si>
    <t xml:space="preserve">Routing share</t>
  </si>
  <si>
    <t xml:space="preserve">PUE (Low)</t>
  </si>
  <si>
    <t xml:space="preserve">Contribution (Low)</t>
  </si>
  <si>
    <t xml:space="preserve">PUE (Central)</t>
  </si>
  <si>
    <t xml:space="preserve">Contribution (Central)</t>
  </si>
  <si>
    <t xml:space="preserve">PUE (High)</t>
  </si>
  <si>
    <t xml:space="preserve">Contribution (High)</t>
  </si>
  <si>
    <t xml:space="preserve">Microsoft Azure</t>
  </si>
  <si>
    <t xml:space="preserve">Appendix A.1 [66]: operating PUE 1.16 (Americas, 2025)</t>
  </si>
  <si>
    <t xml:space="preserve">Oracle/Stargate</t>
  </si>
  <si>
    <t xml:space="preserve">Appendix A.4 [63]: no operating disclosure; central 1.25 within Crusoe design range 1.2-1.4</t>
  </si>
  <si>
    <t xml:space="preserve">Amazon Web Services</t>
  </si>
  <si>
    <t xml:space="preserve">Appendix A.3 [67]: global 2024 (2025 report states 1.14)</t>
  </si>
  <si>
    <t xml:space="preserve">Google Cloud Platform</t>
  </si>
  <si>
    <t xml:space="preserve">Appendix A.2 [36]: fleet-wide 2025 (1.09 in 2024)</t>
  </si>
  <si>
    <t xml:space="preserve">Routing share total</t>
  </si>
  <si>
    <t xml:space="preserve">Aggregated PUE</t>
  </si>
  <si>
    <t xml:space="preserve">Jegham anchor PUE (reversed out)</t>
  </si>
  <si>
    <t xml:space="preserve">Absolute PUE Multiplier (= Aggregated / 1.12)</t>
  </si>
  <si>
    <t xml:space="preserve">Relative PUE Multiplier (bounds around central)</t>
  </si>
  <si>
    <t xml:space="preserve">Routing shares: contract-value-weighted proxy, Section 4.5 (Azure $35.7B/yr, Stargate $60B/yr, AWS $17.9B/yr, GCP $39.0B/yr assumed midpoint). Shares sum to 99.9% due to rounding in the paper; contributions use the stated shares.</t>
  </si>
  <si>
    <t xml:space="preserve">Central Absolute PUE Multiplier feeds Table 6; Relative Multiplier bounds (P_low/P_high) feed Appendix D.6 and Table 8.</t>
  </si>
  <si>
    <t xml:space="preserve">Copyright (c) 2026 InferenceCarbon Ltd.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</si>
</sst>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"/>
    <numFmt numFmtId="167" formatCode="0.000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19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80"/>
    <col collapsed="false" customWidth="true" hidden="false" outlineLevel="0" max="26" min="10" style="1" width="8.71"/>
  </cols>
  <sheetData>
    <row r="1" customFormat="false" ht="1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</row>
    <row r="5" customFormat="false" ht="15" hidden="false" customHeight="true" outlineLevel="0" collapsed="false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3"/>
    </row>
    <row r="6" customFormat="false" ht="15" hidden="false" customHeight="true" outlineLevel="0" collapsed="false">
      <c r="A6" s="3" t="s">
        <v>11</v>
      </c>
      <c r="B6" s="4" t="n">
        <v>0.234</v>
      </c>
      <c r="C6" s="5" t="n">
        <v>1.16</v>
      </c>
      <c r="D6" s="6" t="n">
        <f aca="false">B6*C6</f>
        <v>0.27144</v>
      </c>
      <c r="E6" s="5" t="n">
        <v>1.16</v>
      </c>
      <c r="F6" s="6" t="n">
        <f aca="false">B6*E6</f>
        <v>0.27144</v>
      </c>
      <c r="G6" s="5" t="n">
        <v>1.16</v>
      </c>
      <c r="H6" s="6" t="n">
        <f aca="false">B6*G6</f>
        <v>0.27144</v>
      </c>
      <c r="I6" s="3" t="s">
        <v>12</v>
      </c>
    </row>
    <row r="7" customFormat="false" ht="15" hidden="false" customHeight="true" outlineLevel="0" collapsed="false">
      <c r="A7" s="3" t="s">
        <v>13</v>
      </c>
      <c r="B7" s="4" t="n">
        <v>0.393</v>
      </c>
      <c r="C7" s="5" t="n">
        <v>1.1</v>
      </c>
      <c r="D7" s="6" t="n">
        <f aca="false">B7*C7</f>
        <v>0.4323</v>
      </c>
      <c r="E7" s="5" t="n">
        <v>1.25</v>
      </c>
      <c r="F7" s="6" t="n">
        <f aca="false">B7*E7</f>
        <v>0.49125</v>
      </c>
      <c r="G7" s="5" t="n">
        <v>1.35</v>
      </c>
      <c r="H7" s="6" t="n">
        <f aca="false">B7*G7</f>
        <v>0.53055</v>
      </c>
      <c r="I7" s="3" t="s">
        <v>14</v>
      </c>
    </row>
    <row r="8" customFormat="false" ht="15" hidden="false" customHeight="true" outlineLevel="0" collapsed="false">
      <c r="A8" s="3" t="s">
        <v>15</v>
      </c>
      <c r="B8" s="4" t="n">
        <v>0.117</v>
      </c>
      <c r="C8" s="5" t="n">
        <v>1.15</v>
      </c>
      <c r="D8" s="6" t="n">
        <f aca="false">B8*C8</f>
        <v>0.13455</v>
      </c>
      <c r="E8" s="5" t="n">
        <v>1.15</v>
      </c>
      <c r="F8" s="6" t="n">
        <f aca="false">B8*E8</f>
        <v>0.13455</v>
      </c>
      <c r="G8" s="5" t="n">
        <v>1.15</v>
      </c>
      <c r="H8" s="6" t="n">
        <f aca="false">B8*G8</f>
        <v>0.13455</v>
      </c>
      <c r="I8" s="3" t="s">
        <v>16</v>
      </c>
    </row>
    <row r="9" customFormat="false" ht="15" hidden="false" customHeight="true" outlineLevel="0" collapsed="false">
      <c r="A9" s="3" t="s">
        <v>17</v>
      </c>
      <c r="B9" s="4" t="n">
        <v>0.255</v>
      </c>
      <c r="C9" s="5" t="n">
        <v>1.09</v>
      </c>
      <c r="D9" s="6" t="n">
        <f aca="false">B9*C9</f>
        <v>0.27795</v>
      </c>
      <c r="E9" s="5" t="n">
        <v>1.09</v>
      </c>
      <c r="F9" s="6" t="n">
        <f aca="false">B9*E9</f>
        <v>0.27795</v>
      </c>
      <c r="G9" s="5" t="n">
        <v>1.09</v>
      </c>
      <c r="H9" s="6" t="n">
        <f aca="false">B9*G9</f>
        <v>0.27795</v>
      </c>
      <c r="I9" s="3" t="s">
        <v>18</v>
      </c>
    </row>
    <row r="10" customFormat="false" ht="15" hidden="false" customHeight="true" outlineLevel="0" collapsed="false">
      <c r="A10" s="2" t="s">
        <v>19</v>
      </c>
      <c r="B10" s="4" t="n">
        <f aca="false">SUM(B6:B9)</f>
        <v>0.999</v>
      </c>
      <c r="C10" s="3"/>
      <c r="D10" s="3"/>
      <c r="E10" s="3"/>
      <c r="F10" s="3"/>
      <c r="G10" s="3"/>
      <c r="H10" s="3"/>
      <c r="I10" s="3"/>
    </row>
    <row r="11" customFormat="false" ht="15" hidden="false" customHeight="true" outlineLevel="0" collapsed="false">
      <c r="A11" s="2" t="s">
        <v>20</v>
      </c>
      <c r="B11" s="3"/>
      <c r="C11" s="3"/>
      <c r="D11" s="6" t="n">
        <f aca="false">SUM(D6:D9)</f>
        <v>1.11624</v>
      </c>
      <c r="E11" s="3"/>
      <c r="F11" s="6" t="n">
        <f aca="false">SUM(F6:F9)</f>
        <v>1.17519</v>
      </c>
      <c r="G11" s="3"/>
      <c r="H11" s="6" t="n">
        <f aca="false">SUM(H6:H9)</f>
        <v>1.21449</v>
      </c>
      <c r="I11" s="3"/>
    </row>
    <row r="12" customFormat="false" ht="15" hidden="false" customHeight="true" outlineLevel="0" collapsed="false">
      <c r="A12" s="2" t="s">
        <v>21</v>
      </c>
      <c r="B12" s="5" t="n">
        <v>1.12</v>
      </c>
      <c r="C12" s="3"/>
      <c r="D12" s="3"/>
      <c r="E12" s="3"/>
      <c r="F12" s="3"/>
      <c r="G12" s="3"/>
      <c r="H12" s="3"/>
      <c r="I12" s="3"/>
    </row>
    <row r="13" customFormat="false" ht="15" hidden="false" customHeight="true" outlineLevel="0" collapsed="false">
      <c r="A13" s="2" t="s">
        <v>22</v>
      </c>
      <c r="B13" s="3"/>
      <c r="C13" s="3"/>
      <c r="D13" s="5" t="n">
        <f aca="false">D11/$B$12</f>
        <v>0.996642857142857</v>
      </c>
      <c r="E13" s="3"/>
      <c r="F13" s="5" t="n">
        <f aca="false">F11/$B$12</f>
        <v>1.04927678571429</v>
      </c>
      <c r="G13" s="3"/>
      <c r="H13" s="5" t="n">
        <f aca="false">H11/$B$12</f>
        <v>1.08436607142857</v>
      </c>
      <c r="I13" s="3"/>
    </row>
    <row r="14" customFormat="false" ht="15" hidden="false" customHeight="true" outlineLevel="0" collapsed="false">
      <c r="A14" s="2" t="s">
        <v>23</v>
      </c>
      <c r="B14" s="3"/>
      <c r="C14" s="3"/>
      <c r="D14" s="5" t="n">
        <f aca="false">D13/$F$13</f>
        <v>0.949837898552575</v>
      </c>
      <c r="E14" s="3"/>
      <c r="F14" s="5" t="n">
        <f aca="false">F13/$F$13</f>
        <v>1</v>
      </c>
      <c r="G14" s="3"/>
      <c r="H14" s="5" t="n">
        <f aca="false">H13/$F$13</f>
        <v>1.03344140096495</v>
      </c>
      <c r="I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</row>
    <row r="16" customFormat="false" ht="15" hidden="false" customHeight="true" outlineLevel="0" collapsed="false">
      <c r="A16" s="3" t="s">
        <v>24</v>
      </c>
      <c r="B16" s="3"/>
      <c r="C16" s="3"/>
      <c r="D16" s="3"/>
      <c r="E16" s="3"/>
      <c r="F16" s="3"/>
      <c r="G16" s="3"/>
      <c r="H16" s="3"/>
      <c r="I16" s="3"/>
    </row>
    <row r="17" customFormat="false" ht="15" hidden="false" customHeight="true" outlineLevel="0" collapsed="false">
      <c r="A17" s="3" t="s">
        <v>25</v>
      </c>
      <c r="B17" s="3"/>
      <c r="C17" s="3"/>
      <c r="D17" s="3"/>
      <c r="E17" s="3"/>
      <c r="F17" s="3"/>
      <c r="G17" s="3"/>
      <c r="H17" s="3"/>
      <c r="I17" s="3"/>
    </row>
    <row r="18" customFormat="false" ht="15" hidden="false" customHeight="true" outlineLevel="0" collapsed="false">
      <c r="A18" s="3" t="s">
        <v>26</v>
      </c>
      <c r="B18" s="3"/>
      <c r="C18" s="3"/>
      <c r="D18" s="3"/>
      <c r="E18" s="3"/>
      <c r="F18" s="3"/>
      <c r="G18" s="3"/>
      <c r="H18" s="3"/>
      <c r="I18" s="3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2026-09-21T12:44:15Z</dcterms:created>
  <dc:creator>openpyxl</dc:creator>
  <dc:description/>
  <dc:language>en-GB</dc:language>
  <cp:lastModifiedBy/>
  <dcterms:modified xsi:type="dcterms:W3CDTF">2026-09-21T13:07:07Z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