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Corpus" sheetId="2" state="visible" r:id="rId4"/>
    <sheet name="Table7" sheetId="3" state="visible" r:id="rId5"/>
    <sheet name="Table8" sheetId="4" state="visible" r:id="rId6"/>
    <sheet name="C_Low" sheetId="5" state="visible" r:id="rId7"/>
    <sheet name="C_High" sheetId="6" state="visible" r:id="rId8"/>
    <sheet name="Table9" sheetId="7" state="visible" r:id="rId9"/>
    <sheet name="T1_GPT55_Grid" sheetId="8" state="visible" r:id="rId10"/>
    <sheet name="TableB1" sheetId="9" state="visible" r:id="rId11"/>
    <sheet name="Lever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<sst xmlns="http://schemas.openxmlformats.org/spreadsheetml/2006/main" count="530" uniqueCount="177">
  <si>
    <t xml:space="preserve">Assumptions — paper-authoritative constants (v3_9x6_1). BLUE = input. Sources in column D.</t>
  </si>
  <si>
    <t xml:space="preserve">Anchor Wh per 400-token query (GPT-4o-mini)</t>
  </si>
  <si>
    <t xml:space="preserve">Jegham et al. [15]; 100 input + 300 output tokens (Section 4.4)</t>
  </si>
  <si>
    <t xml:space="preserve">Per-1,000-token conversion factor</t>
  </si>
  <si>
    <t xml:space="preserve">Equals 1000/300 total tokens (Section 4.11.1 -- 100 input tokens, 300 output tokens, not 400 tokens)</t>
  </si>
  <si>
    <t xml:space="preserve">Anchor TPS (gpt-4o-mini, campaign P50)</t>
  </si>
  <si>
    <t xml:space="preserve">Frozen corpus 24 Jun-22 Aug 2026 (SHA-256 01c57eb5...84cc6), n=105</t>
  </si>
  <si>
    <t xml:space="preserve">PUE multiplier (central, absolute)</t>
  </si>
  <si>
    <t xml:space="preserve">PUE_Calculation_Aug2026.xlsx / Table 6</t>
  </si>
  <si>
    <t xml:space="preserve">PQPC for GPT-5.x</t>
  </si>
  <si>
    <t xml:space="preserve">Section 4.10 (GB200/GB300-dominant fleet)</t>
  </si>
  <si>
    <t xml:space="preserve">PQPC for GPT-4o-mini</t>
  </si>
  <si>
    <t xml:space="preserve">Section 4.11.4 (A100-era anchor deployment)</t>
  </si>
  <si>
    <t xml:space="preserve">Location-based intensity gCO2e/Wh</t>
  </si>
  <si>
    <t xml:space="preserve">Table 3 / Section 4.7</t>
  </si>
  <si>
    <t xml:space="preserve">Market-based intensity gCO2e/Wh (Stargate credited at Oracle FY25 corporate 46 gCO2e/kWh — Section 4.8)</t>
  </si>
  <si>
    <t xml:space="preserve">Table 5 / Section 4.8</t>
  </si>
  <si>
    <t xml:space="preserve">A_low</t>
  </si>
  <si>
    <t xml:space="preserve">Section 4.11.8 (0.30/0.423)</t>
  </si>
  <si>
    <t xml:space="preserve">A_high</t>
  </si>
  <si>
    <t xml:space="preserve">Section 4.11.8</t>
  </si>
  <si>
    <t xml:space="preserve">PQPC_low (relative)</t>
  </si>
  <si>
    <t xml:space="preserve">Section 4.10</t>
  </si>
  <si>
    <t xml:space="preserve">PQPC_high (relative)</t>
  </si>
  <si>
    <t xml:space="preserve">P_low</t>
  </si>
  <si>
    <t xml:space="preserve">Table 6 relative</t>
  </si>
  <si>
    <t xml:space="preserve">P_high</t>
  </si>
  <si>
    <t xml:space="preserve">Fixed_low GPT-5.x</t>
  </si>
  <si>
    <t xml:space="preserve">Equals 0.71 x 0.53 x 0.95 (Section 4.11.8)</t>
  </si>
  <si>
    <t xml:space="preserve">Fixed_high GPT-5.x</t>
  </si>
  <si>
    <t xml:space="preserve">Equals 1.00 x 1.48 x 1.03 (Section 4.11.8)</t>
  </si>
  <si>
    <t xml:space="preserve">Fixed_low GPT-4o-mini</t>
  </si>
  <si>
    <t xml:space="preserve">Equals 0.71 x 1.00 x 0.95 (Section 4.11.8)</t>
  </si>
  <si>
    <t xml:space="preserve">Fixed_high GPT-4o-mini</t>
  </si>
  <si>
    <t xml:space="preserve">Equals 1.00 x 1.00 x 1.03 (Section 4.11.8)</t>
  </si>
  <si>
    <t xml:space="preserve">Corpus provenance: InferenceCarbon_corpus_frozen_20260822.zip, SHA-256 01c57eb5bf41476fee8e06a8b677a72c172c849741cc65a9b554cf7397d84cc6. Copyright (c) 2026 InferenceCarbon Ltd.</t>
  </si>
  <si>
    <t xml:space="preserve">Measured inputs from the frozen corpus (24 Jun - 22 Aug 2026). All values BLUE = measured data (medians / daily-median stats), not editable assumptions.</t>
  </si>
  <si>
    <t xml:space="preserve">Row label</t>
  </si>
  <si>
    <t xml:space="preserve">Corpus label</t>
  </si>
  <si>
    <t xml:space="preserve">TPS median (P50)</t>
  </si>
  <si>
    <t xml:space="preserve">n TPS</t>
  </si>
  <si>
    <t xml:space="preserve">TPS daily-median mean</t>
  </si>
  <si>
    <t xml:space="preserve">TPS daily-median SD</t>
  </si>
  <si>
    <t xml:space="preserve">days</t>
  </si>
  <si>
    <t xml:space="preserve">R central (1k hard)</t>
  </si>
  <si>
    <t xml:space="preserve">n</t>
  </si>
  <si>
    <t xml:space="preserve">R short (100/300 hard)</t>
  </si>
  <si>
    <t xml:space="preserve">R long (10k hard)</t>
  </si>
  <si>
    <t xml:space="preserve">R floor (easy 10k)</t>
  </si>
  <si>
    <t xml:space="preserve">R heavy (k=36)</t>
  </si>
  <si>
    <t xml:space="preserve">Mode</t>
  </si>
  <si>
    <t xml:space="preserve">PQPC class</t>
  </si>
  <si>
    <t xml:space="preserve">gpt-4o-mini</t>
  </si>
  <si>
    <t xml:space="preserve">None</t>
  </si>
  <si>
    <t xml:space="preserve">4o</t>
  </si>
  <si>
    <t xml:space="preserve">gpt-5 (high)</t>
  </si>
  <si>
    <t xml:space="preserve">High</t>
  </si>
  <si>
    <t xml:space="preserve">5x</t>
  </si>
  <si>
    <t xml:space="preserve">gpt-5 (xhigh)</t>
  </si>
  <si>
    <t xml:space="preserve">xHigh</t>
  </si>
  <si>
    <t xml:space="preserve">gpt-5.2 (non-reasoning)</t>
  </si>
  <si>
    <t xml:space="preserve">gpt-5.2 (minimal)</t>
  </si>
  <si>
    <t xml:space="preserve">gpt-5.2 (xhigh)</t>
  </si>
  <si>
    <t xml:space="preserve">gpt-5.4-nano (non-reasoning)</t>
  </si>
  <si>
    <t xml:space="preserve">gpt-5.4-nano (minimal)</t>
  </si>
  <si>
    <t xml:space="preserve">gpt-5.4-nano (medium)</t>
  </si>
  <si>
    <t xml:space="preserve">Medium</t>
  </si>
  <si>
    <t xml:space="preserve">gpt-5.4-nano (xhigh)</t>
  </si>
  <si>
    <t xml:space="preserve">gpt-5.4-mini (non-reasoning)</t>
  </si>
  <si>
    <t xml:space="preserve">gpt-5.4-mini (minimal)</t>
  </si>
  <si>
    <t xml:space="preserve">gpt-5.4-mini (medium)</t>
  </si>
  <si>
    <t xml:space="preserve">gpt-5.4-mini (xhigh)</t>
  </si>
  <si>
    <t xml:space="preserve">gpt-5.4 (non-reasoning)</t>
  </si>
  <si>
    <t xml:space="preserve">gpt-5.4 (minimal)</t>
  </si>
  <si>
    <t xml:space="preserve">gpt-5.4 (xhigh)</t>
  </si>
  <si>
    <t xml:space="preserve">gpt-5.5 (minimal)</t>
  </si>
  <si>
    <t xml:space="preserve">Minimal (measured)</t>
  </si>
  <si>
    <t xml:space="preserve">gpt-5.5 (low)</t>
  </si>
  <si>
    <t xml:space="preserve">Low</t>
  </si>
  <si>
    <t xml:space="preserve">gpt-5.5 (medium)</t>
  </si>
  <si>
    <t xml:space="preserve">gpt-5.5 (high)</t>
  </si>
  <si>
    <t xml:space="preserve">gpt-5.5 (xhigh)</t>
  </si>
  <si>
    <t xml:space="preserve">gpt-5.6-luna (minimal)</t>
  </si>
  <si>
    <t xml:space="preserve">gpt-5.6-luna (low)</t>
  </si>
  <si>
    <t xml:space="preserve">gpt-5.6-luna (medium)</t>
  </si>
  <si>
    <t xml:space="preserve">gpt-5.6-luna (high)</t>
  </si>
  <si>
    <t xml:space="preserve">gpt-5.6-luna (xhigh)</t>
  </si>
  <si>
    <t xml:space="preserve">gpt-5.6-sol (minimal)</t>
  </si>
  <si>
    <t xml:space="preserve">gpt-5.6-sol (low)</t>
  </si>
  <si>
    <t xml:space="preserve">gpt-5.6-sol (medium)</t>
  </si>
  <si>
    <t xml:space="preserve">gpt-5.6-sol (high)</t>
  </si>
  <si>
    <t xml:space="preserve">gpt-5.6-sol (xhigh)</t>
  </si>
  <si>
    <t xml:space="preserve">gpt-5.6-sol (max)*</t>
  </si>
  <si>
    <t xml:space="preserve">Max (floor)</t>
  </si>
  <si>
    <t xml:space="preserve">gpt-5.6-terra (minimal)</t>
  </si>
  <si>
    <t xml:space="preserve">gpt-5.6-terra (low)</t>
  </si>
  <si>
    <t xml:space="preserve">gpt-5.6-terra (medium)</t>
  </si>
  <si>
    <t xml:space="preserve">gpt-5.6-terra (high)</t>
  </si>
  <si>
    <t xml:space="preserve">gpt-5.6-terra (xhigh)</t>
  </si>
  <si>
    <t xml:space="preserve">Table 7 — Anchor scaling chain (all formulas). Anchor 0.577 Wh x 2.5 -&gt; TPS scale -&gt; PUE -&gt; PQPC -&gt; Reasoning multiplier.</t>
  </si>
  <si>
    <t xml:space="preserve">Model</t>
  </si>
  <si>
    <t xml:space="preserve">Anchor Wh/1,000 tokens</t>
  </si>
  <si>
    <t xml:space="preserve">Tokens-Per-Second</t>
  </si>
  <si>
    <t xml:space="preserve">TPS Adjustment</t>
  </si>
  <si>
    <t xml:space="preserve">TPS-Scaled Wh</t>
  </si>
  <si>
    <t xml:space="preserve">PUE Multiplier</t>
  </si>
  <si>
    <t xml:space="preserve">PUE-Adjusted Wh</t>
  </si>
  <si>
    <t xml:space="preserve">PQPC</t>
  </si>
  <si>
    <t xml:space="preserve">PQPC-Adjusted Wh</t>
  </si>
  <si>
    <t xml:space="preserve">Reasoning Mode</t>
  </si>
  <si>
    <t xml:space="preserve">Reasoning Multiplier</t>
  </si>
  <si>
    <t xml:space="preserve">Adjusted Per-Model Wh/1,000 tokens</t>
  </si>
  <si>
    <t xml:space="preserve">gpt-5.6-sol (max)*: xhigh values carried as explicit floors (limitation 18; tier not measured before the close). gpt-5 (xhigh) row added at data close: effort ladder is non-monotonic (R falls 6.12 -&gt; 3.75).</t>
  </si>
  <si>
    <t xml:space="preserve">Table 8 — Conversion to location-based and market-based gCO2e/1,000 tokens.</t>
  </si>
  <si>
    <t xml:space="preserve">LB gCO2e/Wh</t>
  </si>
  <si>
    <t xml:space="preserve">MB gCO2e/Wh</t>
  </si>
  <si>
    <t xml:space="preserve">Location-Based gCO2e/1,000 tokens</t>
  </si>
  <si>
    <t xml:space="preserve">Market-Based gCO2e/1,000 tokens</t>
  </si>
  <si>
    <t xml:space="preserve">Appendix C — staged low-range calculation (formulas). T uses daily-median mean/SD; R band: floor (low) / short-query edge (high) relative to 1k central.</t>
  </si>
  <si>
    <t xml:space="preserve">Adjusted Wh</t>
  </si>
  <si>
    <t xml:space="preserve">TPS Mean</t>
  </si>
  <si>
    <t xml:space="preserve">TPS SD</t>
  </si>
  <si>
    <t xml:space="preserve">Fixed_low</t>
  </si>
  <si>
    <t xml:space="preserve">TPS_low</t>
  </si>
  <si>
    <t xml:space="preserve">R_low</t>
  </si>
  <si>
    <t xml:space="preserve">Compounded</t>
  </si>
  <si>
    <t xml:space="preserve">Wh_low</t>
  </si>
  <si>
    <t xml:space="preserve">LB gCO2e/1,000 tokens</t>
  </si>
  <si>
    <t xml:space="preserve">MB gCO2e/1,000 tokens</t>
  </si>
  <si>
    <t xml:space="preserve">Appendix C — staged high-range calculation (formulas). T uses daily-median mean/SD; R band: floor (low) / short-query edge (high) relative to 1k central.</t>
  </si>
  <si>
    <t xml:space="preserve">Fixed_high</t>
  </si>
  <si>
    <t xml:space="preserve">TPS_high</t>
  </si>
  <si>
    <t xml:space="preserve">R_high</t>
  </si>
  <si>
    <t xml:space="preserve">Wh_high</t>
  </si>
  <si>
    <t xml:space="preserve">Table 9 — uncertainty bounds (links to C_Low / C_High and Table 8).</t>
  </si>
  <si>
    <t xml:space="preserve">LB Low</t>
  </si>
  <si>
    <t xml:space="preserve">LB Central</t>
  </si>
  <si>
    <t xml:space="preserve">LB High</t>
  </si>
  <si>
    <t xml:space="preserve">MB Low</t>
  </si>
  <si>
    <t xml:space="preserve">MB Central</t>
  </si>
  <si>
    <t xml:space="preserve">MB High</t>
  </si>
  <si>
    <t xml:space="preserve">Table 1 — GPT-5.5 measured reasoning-mode multipliers: difficulty x length grid (medians, v2 fixed-task records, frozen corpus).</t>
  </si>
  <si>
    <t xml:space="preserve">Hard-short (100/300)</t>
  </si>
  <si>
    <t xml:space="preserve">Hard-medium (1k/1k)</t>
  </si>
  <si>
    <t xml:space="preserve">Hard-long (10k/1.5k)</t>
  </si>
  <si>
    <t xml:space="preserve">Easy floor (10k summarise)</t>
  </si>
  <si>
    <t xml:space="preserve">Heavy task k=36 (1k)</t>
  </si>
  <si>
    <t xml:space="preserve">Minimal</t>
  </si>
  <si>
    <t xml:space="preserve">Xhigh</t>
  </si>
  <si>
    <t xml:space="preserve">Hard-long cells carry small n (2-4): reported with that caveat. Heavy task (36-element puzzle, added 30 Jul) is the task-demand sensitivity: reported separately, NOT compounded into Table 9 bands.</t>
  </si>
  <si>
    <t xml:space="preserve">Table B1 — OpenAI TPS summary, daily medians pooled per calendar day, full campaign 24 Jun - 22 Aug 2026.</t>
  </si>
  <si>
    <t xml:space="preserve">Model variant</t>
  </si>
  <si>
    <t xml:space="preserve">Mean visible TPS (o200k, daily medians)</t>
  </si>
  <si>
    <t xml:space="preserve">SD</t>
  </si>
  <si>
    <t xml:space="preserve">Days (n)</t>
  </si>
  <si>
    <t xml:space="preserve">gpt-5 (low)</t>
  </si>
  <si>
    <t xml:space="preserve">gpt-5 (medium)</t>
  </si>
  <si>
    <t xml:space="preserve">gpt-5 (minimal)</t>
  </si>
  <si>
    <t xml:space="preserve">gpt-5.2 (high)</t>
  </si>
  <si>
    <t xml:space="preserve">gpt-5.2 (low)</t>
  </si>
  <si>
    <t xml:space="preserve">gpt-5.2 (medium)</t>
  </si>
  <si>
    <t xml:space="preserve">gpt-5.4 (high)</t>
  </si>
  <si>
    <t xml:space="preserve">gpt-5.4 (low)</t>
  </si>
  <si>
    <t xml:space="preserve">gpt-5.4 (medium)</t>
  </si>
  <si>
    <t xml:space="preserve">gpt-5.4-mini (high)</t>
  </si>
  <si>
    <t xml:space="preserve">gpt-5.4-mini (low)</t>
  </si>
  <si>
    <t xml:space="preserve">gpt-5.4-nano (high)</t>
  </si>
  <si>
    <t xml:space="preserve">gpt-5.4-nano (low)</t>
  </si>
  <si>
    <t xml:space="preserve">Mean SD across variants = 13.4. Variants with fewer than 8 collection days excluded (legacy gpt-5-mini/nano/5.1).</t>
  </si>
  <si>
    <t xml:space="preserve">Envelope log-factor report (Section 3.8 / stub after Table 9): ln(high/low) per factor. Larger = wider contribution to the envelope.</t>
  </si>
  <si>
    <t xml:space="preserve">ln A span</t>
  </si>
  <si>
    <t xml:space="preserve">ln PQPC span</t>
  </si>
  <si>
    <t xml:space="preserve">ln P span</t>
  </si>
  <si>
    <t xml:space="preserve">ln T span</t>
  </si>
  <si>
    <t xml:space="preserve">ln R span</t>
  </si>
  <si>
    <t xml:space="preserve">R heavy (k=36) central</t>
  </si>
  <si>
    <t xml:space="preserve">Cross-variant means: PQPC 1.03, R 0.71, A 0.34, T 0.3, P 0.08 -&gt; envelope ranking: PQPC &gt; R &gt; A &gt; T &gt; P.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</si>
</sst>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0"/>
    <numFmt numFmtId="167" formatCode="0.0"/>
    <numFmt numFmtId="168" formatCode="0.000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2"/>
    <col collapsed="false" customWidth="true" hidden="false" outlineLevel="0" max="3" min="3" style="1" width="8.71"/>
    <col collapsed="false" customWidth="true" hidden="false" outlineLevel="0" max="4" min="4" style="1" width="75"/>
    <col collapsed="false" customWidth="true" hidden="false" outlineLevel="0" max="26" min="5" style="1" width="8.71"/>
  </cols>
  <sheetData>
    <row r="1" customFormat="false" ht="15" hidden="false" customHeight="true" outlineLevel="0" collapsed="false">
      <c r="A1" s="2" t="s">
        <v>0</v>
      </c>
      <c r="B1" s="3"/>
      <c r="C1" s="3"/>
      <c r="D1" s="3"/>
    </row>
    <row r="2" customFormat="false" ht="15" hidden="false" customHeight="true" outlineLevel="0" collapsed="false">
      <c r="A2" s="3"/>
      <c r="B2" s="3"/>
      <c r="C2" s="3"/>
      <c r="D2" s="3"/>
    </row>
    <row r="3" customFormat="false" ht="15" hidden="false" customHeight="true" outlineLevel="0" collapsed="false">
      <c r="A3" s="3" t="s">
        <v>1</v>
      </c>
      <c r="B3" s="4" t="n">
        <v>0.577</v>
      </c>
      <c r="C3" s="3"/>
      <c r="D3" s="3" t="s">
        <v>2</v>
      </c>
    </row>
    <row r="4" customFormat="false" ht="15" hidden="false" customHeight="true" outlineLevel="0" collapsed="false">
      <c r="A4" s="3" t="s">
        <v>3</v>
      </c>
      <c r="B4" s="5" t="n">
        <f aca="false">1000/300</f>
        <v>3.33333333333333</v>
      </c>
      <c r="C4" s="3"/>
      <c r="D4" s="3" t="s">
        <v>4</v>
      </c>
    </row>
    <row r="5" customFormat="false" ht="15" hidden="false" customHeight="true" outlineLevel="0" collapsed="false">
      <c r="A5" s="3" t="s">
        <v>5</v>
      </c>
      <c r="B5" s="4" t="n">
        <v>78.3</v>
      </c>
      <c r="C5" s="3"/>
      <c r="D5" s="3" t="s">
        <v>6</v>
      </c>
    </row>
    <row r="6" customFormat="false" ht="15" hidden="false" customHeight="true" outlineLevel="0" collapsed="false">
      <c r="A6" s="3" t="s">
        <v>7</v>
      </c>
      <c r="B6" s="6" t="n">
        <v>1.05</v>
      </c>
      <c r="C6" s="3"/>
      <c r="D6" s="3" t="s">
        <v>8</v>
      </c>
    </row>
    <row r="7" customFormat="false" ht="15" hidden="false" customHeight="true" outlineLevel="0" collapsed="false">
      <c r="A7" s="3" t="s">
        <v>9</v>
      </c>
      <c r="B7" s="4" t="n">
        <v>2.99</v>
      </c>
      <c r="C7" s="3"/>
      <c r="D7" s="3" t="s">
        <v>10</v>
      </c>
    </row>
    <row r="8" customFormat="false" ht="15" hidden="false" customHeight="true" outlineLevel="0" collapsed="false">
      <c r="A8" s="3" t="s">
        <v>11</v>
      </c>
      <c r="B8" s="4" t="n">
        <v>1</v>
      </c>
      <c r="C8" s="3"/>
      <c r="D8" s="3" t="s">
        <v>12</v>
      </c>
    </row>
    <row r="9" customFormat="false" ht="15" hidden="false" customHeight="true" outlineLevel="0" collapsed="false">
      <c r="A9" s="3" t="s">
        <v>13</v>
      </c>
      <c r="B9" s="7" t="n">
        <v>0.353</v>
      </c>
      <c r="C9" s="3"/>
      <c r="D9" s="3" t="s">
        <v>14</v>
      </c>
    </row>
    <row r="10" customFormat="false" ht="15" hidden="false" customHeight="true" outlineLevel="0" collapsed="false">
      <c r="A10" s="3" t="s">
        <v>15</v>
      </c>
      <c r="B10" s="7" t="n">
        <v>0.0642</v>
      </c>
      <c r="C10" s="3"/>
      <c r="D10" s="3" t="s">
        <v>16</v>
      </c>
    </row>
    <row r="11" customFormat="false" ht="15" hidden="false" customHeight="true" outlineLevel="0" collapsed="false">
      <c r="A11" s="3" t="s">
        <v>17</v>
      </c>
      <c r="B11" s="7" t="n">
        <v>0.71</v>
      </c>
      <c r="C11" s="3"/>
      <c r="D11" s="3" t="s">
        <v>18</v>
      </c>
    </row>
    <row r="12" customFormat="false" ht="15" hidden="false" customHeight="true" outlineLevel="0" collapsed="false">
      <c r="A12" s="3" t="s">
        <v>19</v>
      </c>
      <c r="B12" s="7" t="n">
        <v>1</v>
      </c>
      <c r="C12" s="3"/>
      <c r="D12" s="3" t="s">
        <v>20</v>
      </c>
    </row>
    <row r="13" customFormat="false" ht="15" hidden="false" customHeight="true" outlineLevel="0" collapsed="false">
      <c r="A13" s="3" t="s">
        <v>21</v>
      </c>
      <c r="B13" s="7" t="n">
        <v>0.53</v>
      </c>
      <c r="C13" s="3"/>
      <c r="D13" s="3" t="s">
        <v>22</v>
      </c>
    </row>
    <row r="14" customFormat="false" ht="15" hidden="false" customHeight="true" outlineLevel="0" collapsed="false">
      <c r="A14" s="3" t="s">
        <v>23</v>
      </c>
      <c r="B14" s="7" t="n">
        <v>1.48</v>
      </c>
      <c r="C14" s="3"/>
      <c r="D14" s="3" t="s">
        <v>22</v>
      </c>
    </row>
    <row r="15" customFormat="false" ht="15" hidden="false" customHeight="true" outlineLevel="0" collapsed="false">
      <c r="A15" s="3" t="s">
        <v>24</v>
      </c>
      <c r="B15" s="7" t="n">
        <v>0.95</v>
      </c>
      <c r="C15" s="3"/>
      <c r="D15" s="3" t="s">
        <v>25</v>
      </c>
    </row>
    <row r="16" customFormat="false" ht="15" hidden="false" customHeight="true" outlineLevel="0" collapsed="false">
      <c r="A16" s="3" t="s">
        <v>26</v>
      </c>
      <c r="B16" s="7" t="n">
        <v>1.03</v>
      </c>
      <c r="C16" s="3"/>
      <c r="D16" s="3" t="s">
        <v>25</v>
      </c>
    </row>
    <row r="17" customFormat="false" ht="15" hidden="false" customHeight="true" outlineLevel="0" collapsed="false">
      <c r="A17" s="3" t="s">
        <v>27</v>
      </c>
      <c r="B17" s="7" t="n">
        <v>0.36</v>
      </c>
      <c r="C17" s="3"/>
      <c r="D17" s="3" t="s">
        <v>28</v>
      </c>
    </row>
    <row r="18" customFormat="false" ht="15" hidden="false" customHeight="true" outlineLevel="0" collapsed="false">
      <c r="A18" s="3" t="s">
        <v>29</v>
      </c>
      <c r="B18" s="7" t="n">
        <v>1.52</v>
      </c>
      <c r="C18" s="3"/>
      <c r="D18" s="3" t="s">
        <v>30</v>
      </c>
    </row>
    <row r="19" customFormat="false" ht="15" hidden="false" customHeight="true" outlineLevel="0" collapsed="false">
      <c r="A19" s="3" t="s">
        <v>31</v>
      </c>
      <c r="B19" s="7" t="n">
        <v>0.67</v>
      </c>
      <c r="C19" s="3"/>
      <c r="D19" s="3" t="s">
        <v>32</v>
      </c>
    </row>
    <row r="20" customFormat="false" ht="15" hidden="false" customHeight="true" outlineLevel="0" collapsed="false">
      <c r="A20" s="3" t="s">
        <v>33</v>
      </c>
      <c r="B20" s="7" t="n">
        <v>1.03</v>
      </c>
      <c r="C20" s="3"/>
      <c r="D20" s="3" t="s">
        <v>34</v>
      </c>
    </row>
    <row r="21" customFormat="false" ht="15.75" hidden="false" customHeight="true" outlineLevel="0" collapsed="false">
      <c r="A21" s="3"/>
      <c r="B21" s="3"/>
      <c r="C21" s="3"/>
      <c r="D21" s="3"/>
    </row>
    <row r="22" customFormat="false" ht="15.75" hidden="false" customHeight="true" outlineLevel="0" collapsed="false">
      <c r="A22" s="3" t="s">
        <v>35</v>
      </c>
      <c r="B22" s="3"/>
      <c r="C22" s="3"/>
      <c r="D22" s="3"/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2" min="1" style="1" width="26"/>
    <col collapsed="false" customWidth="true" hidden="false" outlineLevel="0" max="3" min="3" style="1" width="14"/>
    <col collapsed="false" customWidth="true" hidden="false" outlineLevel="0" max="4" min="4" style="1" width="7"/>
    <col collapsed="false" customWidth="true" hidden="false" outlineLevel="0" max="6" min="5" style="1" width="18"/>
    <col collapsed="false" customWidth="true" hidden="false" outlineLevel="0" max="7" min="7" style="1" width="6"/>
    <col collapsed="false" customWidth="true" hidden="false" outlineLevel="0" max="8" min="8" style="1" width="14"/>
    <col collapsed="false" customWidth="true" hidden="false" outlineLevel="0" max="9" min="9" style="1" width="5"/>
    <col collapsed="false" customWidth="true" hidden="false" outlineLevel="0" max="10" min="10" style="1" width="16"/>
    <col collapsed="false" customWidth="true" hidden="false" outlineLevel="0" max="11" min="11" style="1" width="5"/>
    <col collapsed="false" customWidth="true" hidden="false" outlineLevel="0" max="12" min="12" style="1" width="14"/>
    <col collapsed="false" customWidth="true" hidden="false" outlineLevel="0" max="13" min="13" style="1" width="5"/>
    <col collapsed="false" customWidth="true" hidden="false" outlineLevel="0" max="14" min="14" style="1" width="14"/>
    <col collapsed="false" customWidth="true" hidden="false" outlineLevel="0" max="15" min="15" style="1" width="13"/>
    <col collapsed="false" customWidth="true" hidden="false" outlineLevel="0" max="16" min="16" style="1" width="5"/>
    <col collapsed="false" customWidth="true" hidden="false" outlineLevel="0" max="17" min="17" style="1" width="18"/>
    <col collapsed="false" customWidth="true" hidden="false" outlineLevel="0" max="18" min="18" style="1" width="10"/>
    <col collapsed="false" customWidth="true" hidden="false" outlineLevel="0" max="26" min="19" style="1" width="8.71"/>
  </cols>
  <sheetData>
    <row r="1" customFormat="false" ht="15" hidden="false" customHeight="true" outlineLevel="0" collapsed="false">
      <c r="A1" s="2" t="s">
        <v>36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5" hidden="false" customHeight="true" outlineLevel="0" collapsed="false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  <c r="H2" s="2" t="s">
        <v>44</v>
      </c>
      <c r="I2" s="2" t="s">
        <v>45</v>
      </c>
      <c r="J2" s="2" t="s">
        <v>46</v>
      </c>
      <c r="K2" s="2" t="s">
        <v>45</v>
      </c>
      <c r="L2" s="2" t="s">
        <v>47</v>
      </c>
      <c r="M2" s="2" t="s">
        <v>45</v>
      </c>
      <c r="N2" s="2" t="s">
        <v>48</v>
      </c>
      <c r="O2" s="2" t="s">
        <v>49</v>
      </c>
      <c r="P2" s="2" t="s">
        <v>45</v>
      </c>
      <c r="Q2" s="2" t="s">
        <v>50</v>
      </c>
      <c r="R2" s="2" t="s">
        <v>51</v>
      </c>
    </row>
    <row r="3" customFormat="false" ht="15" hidden="false" customHeight="true" outlineLevel="0" collapsed="false">
      <c r="A3" s="3" t="s">
        <v>52</v>
      </c>
      <c r="B3" s="3" t="s">
        <v>52</v>
      </c>
      <c r="C3" s="7" t="n">
        <v>78.3</v>
      </c>
      <c r="D3" s="7" t="n">
        <v>105</v>
      </c>
      <c r="E3" s="7" t="n">
        <v>80.1</v>
      </c>
      <c r="F3" s="7" t="n">
        <v>23.9</v>
      </c>
      <c r="G3" s="7" t="n">
        <v>57</v>
      </c>
      <c r="H3" s="7" t="n">
        <v>1</v>
      </c>
      <c r="I3" s="7" t="n">
        <v>47</v>
      </c>
      <c r="J3" s="7" t="n">
        <v>1</v>
      </c>
      <c r="K3" s="7" t="n">
        <v>46</v>
      </c>
      <c r="L3" s="7" t="n">
        <v>1</v>
      </c>
      <c r="M3" s="7" t="n">
        <v>4</v>
      </c>
      <c r="N3" s="7" t="n">
        <v>1</v>
      </c>
      <c r="O3" s="7" t="n">
        <v>1</v>
      </c>
      <c r="P3" s="7" t="n">
        <v>12</v>
      </c>
      <c r="Q3" s="7" t="s">
        <v>53</v>
      </c>
      <c r="R3" s="7" t="s">
        <v>54</v>
      </c>
    </row>
    <row r="4" customFormat="false" ht="15" hidden="false" customHeight="true" outlineLevel="0" collapsed="false">
      <c r="A4" s="3" t="s">
        <v>55</v>
      </c>
      <c r="B4" s="3" t="s">
        <v>55</v>
      </c>
      <c r="C4" s="7" t="n">
        <v>69</v>
      </c>
      <c r="D4" s="7" t="n">
        <v>94</v>
      </c>
      <c r="E4" s="7" t="n">
        <v>68.1</v>
      </c>
      <c r="F4" s="7" t="n">
        <v>15.7</v>
      </c>
      <c r="G4" s="7" t="n">
        <v>56</v>
      </c>
      <c r="H4" s="7" t="n">
        <v>6.12</v>
      </c>
      <c r="I4" s="7" t="n">
        <v>32</v>
      </c>
      <c r="J4" s="7" t="n">
        <v>9.1</v>
      </c>
      <c r="K4" s="7" t="n">
        <v>34</v>
      </c>
      <c r="L4" s="7"/>
      <c r="M4" s="7"/>
      <c r="N4" s="7" t="n">
        <v>3.24</v>
      </c>
      <c r="O4" s="7" t="n">
        <v>14.39</v>
      </c>
      <c r="P4" s="7" t="n">
        <v>12</v>
      </c>
      <c r="Q4" s="7" t="s">
        <v>56</v>
      </c>
      <c r="R4" s="7" t="s">
        <v>57</v>
      </c>
    </row>
    <row r="5" customFormat="false" ht="15" hidden="false" customHeight="true" outlineLevel="0" collapsed="false">
      <c r="A5" s="3" t="s">
        <v>58</v>
      </c>
      <c r="B5" s="3" t="s">
        <v>58</v>
      </c>
      <c r="C5" s="7" t="n">
        <v>61.85</v>
      </c>
      <c r="D5" s="7" t="n">
        <v>101</v>
      </c>
      <c r="E5" s="7" t="n">
        <v>63.8</v>
      </c>
      <c r="F5" s="7" t="n">
        <v>16.7</v>
      </c>
      <c r="G5" s="7" t="n">
        <v>56</v>
      </c>
      <c r="H5" s="7" t="n">
        <v>3.75</v>
      </c>
      <c r="I5" s="7" t="n">
        <v>38</v>
      </c>
      <c r="J5" s="7" t="n">
        <v>5.77</v>
      </c>
      <c r="K5" s="7" t="n">
        <v>35</v>
      </c>
      <c r="L5" s="7" t="n">
        <v>3.59</v>
      </c>
      <c r="M5" s="7" t="n">
        <v>2</v>
      </c>
      <c r="N5" s="7" t="n">
        <v>1.67</v>
      </c>
      <c r="O5" s="7" t="n">
        <v>8.71</v>
      </c>
      <c r="P5" s="7" t="n">
        <v>12</v>
      </c>
      <c r="Q5" s="7" t="s">
        <v>59</v>
      </c>
      <c r="R5" s="7" t="s">
        <v>57</v>
      </c>
    </row>
    <row r="6" customFormat="false" ht="15" hidden="false" customHeight="true" outlineLevel="0" collapsed="false">
      <c r="A6" s="3" t="s">
        <v>60</v>
      </c>
      <c r="B6" s="3" t="s">
        <v>61</v>
      </c>
      <c r="C6" s="7" t="n">
        <v>60.3</v>
      </c>
      <c r="D6" s="7" t="n">
        <v>102</v>
      </c>
      <c r="E6" s="7" t="n">
        <v>59.6</v>
      </c>
      <c r="F6" s="7" t="n">
        <v>6.4</v>
      </c>
      <c r="G6" s="7" t="n">
        <v>57</v>
      </c>
      <c r="H6" s="7" t="n">
        <v>1</v>
      </c>
      <c r="I6" s="7" t="n">
        <v>40</v>
      </c>
      <c r="J6" s="7" t="n">
        <v>1</v>
      </c>
      <c r="K6" s="7" t="n">
        <v>37</v>
      </c>
      <c r="L6" s="7" t="n">
        <v>1</v>
      </c>
      <c r="M6" s="7" t="n">
        <v>4</v>
      </c>
      <c r="N6" s="7" t="n">
        <v>1</v>
      </c>
      <c r="O6" s="7" t="n">
        <v>1</v>
      </c>
      <c r="P6" s="7" t="n">
        <v>20</v>
      </c>
      <c r="Q6" s="7" t="s">
        <v>53</v>
      </c>
      <c r="R6" s="7" t="s">
        <v>57</v>
      </c>
    </row>
    <row r="7" customFormat="false" ht="15" hidden="false" customHeight="true" outlineLevel="0" collapsed="false">
      <c r="A7" s="3" t="s">
        <v>62</v>
      </c>
      <c r="B7" s="3" t="s">
        <v>62</v>
      </c>
      <c r="C7" s="7" t="n">
        <v>59.39</v>
      </c>
      <c r="D7" s="7" t="n">
        <v>102</v>
      </c>
      <c r="E7" s="7" t="n">
        <v>59.1</v>
      </c>
      <c r="F7" s="7" t="n">
        <v>6.9</v>
      </c>
      <c r="G7" s="7" t="n">
        <v>56</v>
      </c>
      <c r="H7" s="7" t="n">
        <v>3.22</v>
      </c>
      <c r="I7" s="7" t="n">
        <v>34</v>
      </c>
      <c r="J7" s="7" t="n">
        <v>3.59</v>
      </c>
      <c r="K7" s="7" t="n">
        <v>37</v>
      </c>
      <c r="L7" s="7"/>
      <c r="M7" s="7"/>
      <c r="N7" s="7" t="n">
        <v>1.48</v>
      </c>
      <c r="O7" s="7" t="n">
        <v>7.08</v>
      </c>
      <c r="P7" s="7" t="n">
        <v>12</v>
      </c>
      <c r="Q7" s="7" t="s">
        <v>59</v>
      </c>
      <c r="R7" s="7" t="s">
        <v>57</v>
      </c>
    </row>
    <row r="8" customFormat="false" ht="15" hidden="false" customHeight="true" outlineLevel="0" collapsed="false">
      <c r="A8" s="3" t="s">
        <v>63</v>
      </c>
      <c r="B8" s="3" t="s">
        <v>64</v>
      </c>
      <c r="C8" s="7" t="n">
        <v>156.58</v>
      </c>
      <c r="D8" s="7" t="n">
        <v>102</v>
      </c>
      <c r="E8" s="7" t="n">
        <v>156.6</v>
      </c>
      <c r="F8" s="7" t="n">
        <v>18.7</v>
      </c>
      <c r="G8" s="7" t="n">
        <v>57</v>
      </c>
      <c r="H8" s="7" t="n">
        <v>1</v>
      </c>
      <c r="I8" s="7" t="n">
        <v>40</v>
      </c>
      <c r="J8" s="7" t="n">
        <v>1</v>
      </c>
      <c r="K8" s="7" t="n">
        <v>37</v>
      </c>
      <c r="L8" s="7" t="n">
        <v>1</v>
      </c>
      <c r="M8" s="7" t="n">
        <v>4</v>
      </c>
      <c r="N8" s="7" t="n">
        <v>1</v>
      </c>
      <c r="O8" s="7" t="n">
        <v>1</v>
      </c>
      <c r="P8" s="7" t="n">
        <v>20</v>
      </c>
      <c r="Q8" s="7" t="s">
        <v>53</v>
      </c>
      <c r="R8" s="7" t="s">
        <v>57</v>
      </c>
    </row>
    <row r="9" customFormat="false" ht="15" hidden="false" customHeight="true" outlineLevel="0" collapsed="false">
      <c r="A9" s="3" t="s">
        <v>65</v>
      </c>
      <c r="B9" s="3" t="s">
        <v>65</v>
      </c>
      <c r="C9" s="7" t="n">
        <v>156</v>
      </c>
      <c r="D9" s="7" t="n">
        <v>102</v>
      </c>
      <c r="E9" s="7" t="n">
        <v>152.3</v>
      </c>
      <c r="F9" s="7" t="n">
        <v>22.1</v>
      </c>
      <c r="G9" s="7" t="n">
        <v>57</v>
      </c>
      <c r="H9" s="7" t="n">
        <v>1.83</v>
      </c>
      <c r="I9" s="7" t="n">
        <v>40</v>
      </c>
      <c r="J9" s="7" t="n">
        <v>1.98</v>
      </c>
      <c r="K9" s="7" t="n">
        <v>37</v>
      </c>
      <c r="L9" s="7" t="n">
        <v>1.83</v>
      </c>
      <c r="M9" s="7" t="n">
        <v>4</v>
      </c>
      <c r="N9" s="7" t="n">
        <v>1.07</v>
      </c>
      <c r="O9" s="7" t="n">
        <v>3.62</v>
      </c>
      <c r="P9" s="7" t="n">
        <v>20</v>
      </c>
      <c r="Q9" s="7" t="s">
        <v>66</v>
      </c>
      <c r="R9" s="7" t="s">
        <v>57</v>
      </c>
    </row>
    <row r="10" customFormat="false" ht="15" hidden="false" customHeight="true" outlineLevel="0" collapsed="false">
      <c r="A10" s="3" t="s">
        <v>67</v>
      </c>
      <c r="B10" s="3" t="s">
        <v>67</v>
      </c>
      <c r="C10" s="7" t="n">
        <v>154.37</v>
      </c>
      <c r="D10" s="7" t="n">
        <v>99</v>
      </c>
      <c r="E10" s="7" t="n">
        <v>153.7</v>
      </c>
      <c r="F10" s="7" t="n">
        <v>19.8</v>
      </c>
      <c r="G10" s="7" t="n">
        <v>56</v>
      </c>
      <c r="H10" s="7" t="n">
        <v>3.7</v>
      </c>
      <c r="I10" s="7" t="n">
        <v>39</v>
      </c>
      <c r="J10" s="7" t="n">
        <v>4.1</v>
      </c>
      <c r="K10" s="7" t="n">
        <v>37</v>
      </c>
      <c r="L10" s="7" t="n">
        <v>3.89</v>
      </c>
      <c r="M10" s="7" t="n">
        <v>4</v>
      </c>
      <c r="N10" s="7" t="n">
        <v>2.03</v>
      </c>
      <c r="O10" s="7" t="n">
        <v>8.31</v>
      </c>
      <c r="P10" s="7" t="n">
        <v>12</v>
      </c>
      <c r="Q10" s="7" t="s">
        <v>59</v>
      </c>
      <c r="R10" s="7" t="s">
        <v>57</v>
      </c>
    </row>
    <row r="11" customFormat="false" ht="15" hidden="false" customHeight="true" outlineLevel="0" collapsed="false">
      <c r="A11" s="3" t="s">
        <v>68</v>
      </c>
      <c r="B11" s="3" t="s">
        <v>69</v>
      </c>
      <c r="C11" s="7" t="n">
        <v>145.41</v>
      </c>
      <c r="D11" s="7" t="n">
        <v>103</v>
      </c>
      <c r="E11" s="7" t="n">
        <v>140.5</v>
      </c>
      <c r="F11" s="7" t="n">
        <v>18.1</v>
      </c>
      <c r="G11" s="7" t="n">
        <v>57</v>
      </c>
      <c r="H11" s="7" t="n">
        <v>1</v>
      </c>
      <c r="I11" s="7" t="n">
        <v>40</v>
      </c>
      <c r="J11" s="7" t="n">
        <v>1</v>
      </c>
      <c r="K11" s="7" t="n">
        <v>37</v>
      </c>
      <c r="L11" s="7" t="n">
        <v>1</v>
      </c>
      <c r="M11" s="7" t="n">
        <v>4</v>
      </c>
      <c r="N11" s="7" t="n">
        <v>1</v>
      </c>
      <c r="O11" s="7" t="n">
        <v>1</v>
      </c>
      <c r="P11" s="7" t="n">
        <v>20</v>
      </c>
      <c r="Q11" s="7" t="s">
        <v>53</v>
      </c>
      <c r="R11" s="7" t="s">
        <v>57</v>
      </c>
    </row>
    <row r="12" customFormat="false" ht="15" hidden="false" customHeight="true" outlineLevel="0" collapsed="false">
      <c r="A12" s="3" t="s">
        <v>70</v>
      </c>
      <c r="B12" s="3" t="s">
        <v>70</v>
      </c>
      <c r="C12" s="7" t="n">
        <v>140.63</v>
      </c>
      <c r="D12" s="7" t="n">
        <v>102</v>
      </c>
      <c r="E12" s="7" t="n">
        <v>136.7</v>
      </c>
      <c r="F12" s="7" t="n">
        <v>15.2</v>
      </c>
      <c r="G12" s="7" t="n">
        <v>57</v>
      </c>
      <c r="H12" s="7" t="n">
        <v>1.67</v>
      </c>
      <c r="I12" s="7" t="n">
        <v>40</v>
      </c>
      <c r="J12" s="7" t="n">
        <v>1.78</v>
      </c>
      <c r="K12" s="7" t="n">
        <v>37</v>
      </c>
      <c r="L12" s="7" t="n">
        <v>1.72</v>
      </c>
      <c r="M12" s="7" t="n">
        <v>4</v>
      </c>
      <c r="N12" s="7" t="n">
        <v>1.08</v>
      </c>
      <c r="O12" s="7" t="n">
        <v>3.66</v>
      </c>
      <c r="P12" s="7" t="n">
        <v>20</v>
      </c>
      <c r="Q12" s="7" t="s">
        <v>66</v>
      </c>
      <c r="R12" s="7" t="s">
        <v>57</v>
      </c>
    </row>
    <row r="13" customFormat="false" ht="15" hidden="false" customHeight="true" outlineLevel="0" collapsed="false">
      <c r="A13" s="3" t="s">
        <v>71</v>
      </c>
      <c r="B13" s="3" t="s">
        <v>71</v>
      </c>
      <c r="C13" s="7" t="n">
        <v>145.78</v>
      </c>
      <c r="D13" s="7" t="n">
        <v>33</v>
      </c>
      <c r="E13" s="7" t="n">
        <v>139.2</v>
      </c>
      <c r="F13" s="7" t="n">
        <v>24.5</v>
      </c>
      <c r="G13" s="7" t="n">
        <v>23</v>
      </c>
      <c r="H13" s="7" t="n">
        <v>13.01</v>
      </c>
      <c r="I13" s="7" t="n">
        <v>27</v>
      </c>
      <c r="J13" s="7" t="n">
        <v>12.5</v>
      </c>
      <c r="K13" s="7" t="n">
        <v>33</v>
      </c>
      <c r="L13" s="7" t="n">
        <v>5.23</v>
      </c>
      <c r="M13" s="7" t="n">
        <v>1</v>
      </c>
      <c r="N13" s="7" t="n">
        <v>3.71</v>
      </c>
      <c r="O13" s="7" t="n">
        <v>35.9</v>
      </c>
      <c r="P13" s="7" t="n">
        <v>12</v>
      </c>
      <c r="Q13" s="7" t="s">
        <v>59</v>
      </c>
      <c r="R13" s="7" t="s">
        <v>57</v>
      </c>
    </row>
    <row r="14" customFormat="false" ht="15" hidden="false" customHeight="true" outlineLevel="0" collapsed="false">
      <c r="A14" s="3" t="s">
        <v>72</v>
      </c>
      <c r="B14" s="3" t="s">
        <v>73</v>
      </c>
      <c r="C14" s="7" t="n">
        <v>85.94</v>
      </c>
      <c r="D14" s="7" t="n">
        <v>102</v>
      </c>
      <c r="E14" s="7" t="n">
        <v>86</v>
      </c>
      <c r="F14" s="7" t="n">
        <v>12.7</v>
      </c>
      <c r="G14" s="7" t="n">
        <v>57</v>
      </c>
      <c r="H14" s="7" t="n">
        <v>1</v>
      </c>
      <c r="I14" s="7" t="n">
        <v>40</v>
      </c>
      <c r="J14" s="7" t="n">
        <v>1</v>
      </c>
      <c r="K14" s="7" t="n">
        <v>37</v>
      </c>
      <c r="L14" s="7" t="n">
        <v>1</v>
      </c>
      <c r="M14" s="7" t="n">
        <v>4</v>
      </c>
      <c r="N14" s="7" t="n">
        <v>1</v>
      </c>
      <c r="O14" s="7" t="n">
        <v>1</v>
      </c>
      <c r="P14" s="7" t="n">
        <v>20</v>
      </c>
      <c r="Q14" s="7" t="s">
        <v>53</v>
      </c>
      <c r="R14" s="7" t="s">
        <v>57</v>
      </c>
    </row>
    <row r="15" customFormat="false" ht="15" hidden="false" customHeight="true" outlineLevel="0" collapsed="false">
      <c r="A15" s="3" t="s">
        <v>74</v>
      </c>
      <c r="B15" s="3" t="s">
        <v>74</v>
      </c>
      <c r="C15" s="7" t="n">
        <v>95.16</v>
      </c>
      <c r="D15" s="7" t="n">
        <v>61</v>
      </c>
      <c r="E15" s="7" t="n">
        <v>95.6</v>
      </c>
      <c r="F15" s="7" t="n">
        <v>10.1</v>
      </c>
      <c r="G15" s="7" t="n">
        <v>44</v>
      </c>
      <c r="H15" s="7" t="n">
        <v>3.89</v>
      </c>
      <c r="I15" s="7" t="n">
        <v>39</v>
      </c>
      <c r="J15" s="7" t="n">
        <v>4.05</v>
      </c>
      <c r="K15" s="7" t="n">
        <v>36</v>
      </c>
      <c r="L15" s="7" t="n">
        <v>2.99</v>
      </c>
      <c r="M15" s="7" t="n">
        <v>1</v>
      </c>
      <c r="N15" s="7" t="n">
        <v>1.44</v>
      </c>
      <c r="O15" s="7" t="n">
        <v>6.84</v>
      </c>
      <c r="P15" s="7" t="n">
        <v>12</v>
      </c>
      <c r="Q15" s="7" t="s">
        <v>59</v>
      </c>
      <c r="R15" s="7" t="s">
        <v>57</v>
      </c>
    </row>
    <row r="16" customFormat="false" ht="15" hidden="false" customHeight="true" outlineLevel="0" collapsed="false">
      <c r="A16" s="3" t="s">
        <v>75</v>
      </c>
      <c r="B16" s="3" t="s">
        <v>75</v>
      </c>
      <c r="C16" s="7" t="n">
        <v>59.88</v>
      </c>
      <c r="D16" s="7" t="n">
        <v>102</v>
      </c>
      <c r="E16" s="7" t="n">
        <v>60.9</v>
      </c>
      <c r="F16" s="7" t="n">
        <v>9.2</v>
      </c>
      <c r="G16" s="7" t="n">
        <v>57</v>
      </c>
      <c r="H16" s="7" t="n">
        <v>1.71</v>
      </c>
      <c r="I16" s="7" t="n">
        <v>39</v>
      </c>
      <c r="J16" s="7" t="n">
        <v>2.07</v>
      </c>
      <c r="K16" s="7" t="n">
        <v>37</v>
      </c>
      <c r="L16" s="7" t="n">
        <v>1.84</v>
      </c>
      <c r="M16" s="7" t="n">
        <v>4</v>
      </c>
      <c r="N16" s="7" t="n">
        <v>1.02</v>
      </c>
      <c r="O16" s="7" t="n">
        <v>5.82</v>
      </c>
      <c r="P16" s="7" t="n">
        <v>12</v>
      </c>
      <c r="Q16" s="7" t="s">
        <v>76</v>
      </c>
      <c r="R16" s="7" t="s">
        <v>57</v>
      </c>
    </row>
    <row r="17" customFormat="false" ht="15" hidden="false" customHeight="true" outlineLevel="0" collapsed="false">
      <c r="A17" s="3" t="s">
        <v>77</v>
      </c>
      <c r="B17" s="3" t="s">
        <v>77</v>
      </c>
      <c r="C17" s="7" t="n">
        <v>61.38</v>
      </c>
      <c r="D17" s="7" t="n">
        <v>102</v>
      </c>
      <c r="E17" s="7" t="n">
        <v>61.2</v>
      </c>
      <c r="F17" s="7" t="n">
        <v>8.6</v>
      </c>
      <c r="G17" s="7" t="n">
        <v>57</v>
      </c>
      <c r="H17" s="7" t="n">
        <v>1.45</v>
      </c>
      <c r="I17" s="7" t="n">
        <v>39</v>
      </c>
      <c r="J17" s="7" t="n">
        <v>1.64</v>
      </c>
      <c r="K17" s="7" t="n">
        <v>37</v>
      </c>
      <c r="L17" s="7" t="n">
        <v>1.34</v>
      </c>
      <c r="M17" s="7" t="n">
        <v>4</v>
      </c>
      <c r="N17" s="7" t="n">
        <v>1.01</v>
      </c>
      <c r="O17" s="7" t="n">
        <v>2.07</v>
      </c>
      <c r="P17" s="7" t="n">
        <v>20</v>
      </c>
      <c r="Q17" s="7" t="s">
        <v>78</v>
      </c>
      <c r="R17" s="7" t="s">
        <v>57</v>
      </c>
    </row>
    <row r="18" customFormat="false" ht="15" hidden="false" customHeight="true" outlineLevel="0" collapsed="false">
      <c r="A18" s="3" t="s">
        <v>79</v>
      </c>
      <c r="B18" s="3" t="s">
        <v>79</v>
      </c>
      <c r="C18" s="7" t="n">
        <v>60.89</v>
      </c>
      <c r="D18" s="7" t="n">
        <v>103</v>
      </c>
      <c r="E18" s="7" t="n">
        <v>61.4</v>
      </c>
      <c r="F18" s="7" t="n">
        <v>9.1</v>
      </c>
      <c r="G18" s="7" t="n">
        <v>57</v>
      </c>
      <c r="H18" s="7" t="n">
        <v>1.69</v>
      </c>
      <c r="I18" s="7" t="n">
        <v>39</v>
      </c>
      <c r="J18" s="7" t="n">
        <v>2.01</v>
      </c>
      <c r="K18" s="7" t="n">
        <v>37</v>
      </c>
      <c r="L18" s="7" t="n">
        <v>1.54</v>
      </c>
      <c r="M18" s="7" t="n">
        <v>4</v>
      </c>
      <c r="N18" s="7" t="n">
        <v>1.02</v>
      </c>
      <c r="O18" s="7" t="n">
        <v>3.21</v>
      </c>
      <c r="P18" s="7" t="n">
        <v>12</v>
      </c>
      <c r="Q18" s="7" t="s">
        <v>66</v>
      </c>
      <c r="R18" s="7" t="s">
        <v>57</v>
      </c>
    </row>
    <row r="19" customFormat="false" ht="15" hidden="false" customHeight="true" outlineLevel="0" collapsed="false">
      <c r="A19" s="3" t="s">
        <v>80</v>
      </c>
      <c r="B19" s="3" t="s">
        <v>80</v>
      </c>
      <c r="C19" s="7" t="n">
        <v>60.69</v>
      </c>
      <c r="D19" s="7" t="n">
        <v>101</v>
      </c>
      <c r="E19" s="7" t="n">
        <v>61.5</v>
      </c>
      <c r="F19" s="7" t="n">
        <v>9</v>
      </c>
      <c r="G19" s="7" t="n">
        <v>56</v>
      </c>
      <c r="H19" s="7" t="n">
        <v>2.39</v>
      </c>
      <c r="I19" s="7" t="n">
        <v>39</v>
      </c>
      <c r="J19" s="7" t="n">
        <v>2.99</v>
      </c>
      <c r="K19" s="7" t="n">
        <v>36</v>
      </c>
      <c r="L19" s="7" t="n">
        <v>2.2</v>
      </c>
      <c r="M19" s="7" t="n">
        <v>4</v>
      </c>
      <c r="N19" s="7" t="n">
        <v>1.14</v>
      </c>
      <c r="O19" s="7" t="n">
        <v>4.93</v>
      </c>
      <c r="P19" s="7" t="n">
        <v>12</v>
      </c>
      <c r="Q19" s="7" t="s">
        <v>56</v>
      </c>
      <c r="R19" s="7" t="s">
        <v>57</v>
      </c>
    </row>
    <row r="20" customFormat="false" ht="15" hidden="false" customHeight="true" outlineLevel="0" collapsed="false">
      <c r="A20" s="3" t="s">
        <v>81</v>
      </c>
      <c r="B20" s="3" t="s">
        <v>81</v>
      </c>
      <c r="C20" s="7" t="n">
        <v>59.91</v>
      </c>
      <c r="D20" s="7" t="n">
        <v>100</v>
      </c>
      <c r="E20" s="7" t="n">
        <v>61.4</v>
      </c>
      <c r="F20" s="7" t="n">
        <v>9.9</v>
      </c>
      <c r="G20" s="7" t="n">
        <v>56</v>
      </c>
      <c r="H20" s="7" t="n">
        <v>2.46</v>
      </c>
      <c r="I20" s="7" t="n">
        <v>38</v>
      </c>
      <c r="J20" s="7" t="n">
        <v>3.52</v>
      </c>
      <c r="K20" s="7" t="n">
        <v>37</v>
      </c>
      <c r="L20" s="7" t="n">
        <v>2.76</v>
      </c>
      <c r="M20" s="7" t="n">
        <v>3</v>
      </c>
      <c r="N20" s="7" t="n">
        <v>1.29</v>
      </c>
      <c r="O20" s="7" t="n">
        <v>5.62</v>
      </c>
      <c r="P20" s="7" t="n">
        <v>12</v>
      </c>
      <c r="Q20" s="7" t="s">
        <v>59</v>
      </c>
      <c r="R20" s="7" t="s">
        <v>57</v>
      </c>
    </row>
    <row r="21" customFormat="false" ht="15.75" hidden="false" customHeight="true" outlineLevel="0" collapsed="false">
      <c r="A21" s="3" t="s">
        <v>82</v>
      </c>
      <c r="B21" s="3" t="s">
        <v>82</v>
      </c>
      <c r="C21" s="7" t="n">
        <v>129.9</v>
      </c>
      <c r="D21" s="7" t="n">
        <v>68</v>
      </c>
      <c r="E21" s="7" t="n">
        <v>127.8</v>
      </c>
      <c r="F21" s="7" t="n">
        <v>19.9</v>
      </c>
      <c r="G21" s="7" t="n">
        <v>41</v>
      </c>
      <c r="H21" s="7" t="n">
        <v>1.6</v>
      </c>
      <c r="I21" s="7" t="n">
        <v>40</v>
      </c>
      <c r="J21" s="7" t="n">
        <v>2.04</v>
      </c>
      <c r="K21" s="7" t="n">
        <v>37</v>
      </c>
      <c r="L21" s="7" t="n">
        <v>1.5</v>
      </c>
      <c r="M21" s="7" t="n">
        <v>4</v>
      </c>
      <c r="N21" s="7" t="n">
        <v>1.03</v>
      </c>
      <c r="O21" s="7" t="n">
        <v>2.71</v>
      </c>
      <c r="P21" s="7" t="n">
        <v>20</v>
      </c>
      <c r="Q21" s="7" t="s">
        <v>76</v>
      </c>
      <c r="R21" s="7" t="s">
        <v>57</v>
      </c>
    </row>
    <row r="22" customFormat="false" ht="15.75" hidden="false" customHeight="true" outlineLevel="0" collapsed="false">
      <c r="A22" s="3" t="s">
        <v>83</v>
      </c>
      <c r="B22" s="3" t="s">
        <v>83</v>
      </c>
      <c r="C22" s="7" t="n">
        <v>131.85</v>
      </c>
      <c r="D22" s="7" t="n">
        <v>68</v>
      </c>
      <c r="E22" s="7" t="n">
        <v>130</v>
      </c>
      <c r="F22" s="7" t="n">
        <v>21.1</v>
      </c>
      <c r="G22" s="7" t="n">
        <v>41</v>
      </c>
      <c r="H22" s="7" t="n">
        <v>1.43</v>
      </c>
      <c r="I22" s="7" t="n">
        <v>40</v>
      </c>
      <c r="J22" s="7" t="n">
        <v>1.73</v>
      </c>
      <c r="K22" s="7" t="n">
        <v>37</v>
      </c>
      <c r="L22" s="7" t="n">
        <v>1.36</v>
      </c>
      <c r="M22" s="7" t="n">
        <v>4</v>
      </c>
      <c r="N22" s="7" t="n">
        <v>1.02</v>
      </c>
      <c r="O22" s="7" t="n">
        <v>2.06</v>
      </c>
      <c r="P22" s="7" t="n">
        <v>20</v>
      </c>
      <c r="Q22" s="7" t="s">
        <v>78</v>
      </c>
      <c r="R22" s="7" t="s">
        <v>57</v>
      </c>
    </row>
    <row r="23" customFormat="false" ht="15.75" hidden="false" customHeight="true" outlineLevel="0" collapsed="false">
      <c r="A23" s="3" t="s">
        <v>84</v>
      </c>
      <c r="B23" s="3" t="s">
        <v>84</v>
      </c>
      <c r="C23" s="7" t="n">
        <v>134.91</v>
      </c>
      <c r="D23" s="7" t="n">
        <v>68</v>
      </c>
      <c r="E23" s="7" t="n">
        <v>135.1</v>
      </c>
      <c r="F23" s="7" t="n">
        <v>29.1</v>
      </c>
      <c r="G23" s="7" t="n">
        <v>41</v>
      </c>
      <c r="H23" s="7" t="n">
        <v>1.58</v>
      </c>
      <c r="I23" s="7" t="n">
        <v>40</v>
      </c>
      <c r="J23" s="7" t="n">
        <v>1.97</v>
      </c>
      <c r="K23" s="7" t="n">
        <v>37</v>
      </c>
      <c r="L23" s="7" t="n">
        <v>1.47</v>
      </c>
      <c r="M23" s="7" t="n">
        <v>4</v>
      </c>
      <c r="N23" s="7" t="n">
        <v>1.03</v>
      </c>
      <c r="O23" s="7" t="n">
        <v>2.7</v>
      </c>
      <c r="P23" s="7" t="n">
        <v>20</v>
      </c>
      <c r="Q23" s="7" t="s">
        <v>66</v>
      </c>
      <c r="R23" s="7" t="s">
        <v>57</v>
      </c>
    </row>
    <row r="24" customFormat="false" ht="15.75" hidden="false" customHeight="true" outlineLevel="0" collapsed="false">
      <c r="A24" s="3" t="s">
        <v>85</v>
      </c>
      <c r="B24" s="3" t="s">
        <v>85</v>
      </c>
      <c r="C24" s="7" t="n">
        <v>133.12</v>
      </c>
      <c r="D24" s="7" t="n">
        <v>66</v>
      </c>
      <c r="E24" s="7" t="n">
        <v>131.4</v>
      </c>
      <c r="F24" s="7" t="n">
        <v>17.8</v>
      </c>
      <c r="G24" s="7" t="n">
        <v>41</v>
      </c>
      <c r="H24" s="7" t="n">
        <v>2.1</v>
      </c>
      <c r="I24" s="7" t="n">
        <v>40</v>
      </c>
      <c r="J24" s="7" t="n">
        <v>2.38</v>
      </c>
      <c r="K24" s="7" t="n">
        <v>37</v>
      </c>
      <c r="L24" s="7" t="n">
        <v>2.1</v>
      </c>
      <c r="M24" s="7" t="n">
        <v>4</v>
      </c>
      <c r="N24" s="7" t="n">
        <v>1.1</v>
      </c>
      <c r="O24" s="7" t="n">
        <v>4.03</v>
      </c>
      <c r="P24" s="7" t="n">
        <v>20</v>
      </c>
      <c r="Q24" s="7" t="s">
        <v>56</v>
      </c>
      <c r="R24" s="7" t="s">
        <v>57</v>
      </c>
    </row>
    <row r="25" customFormat="false" ht="15.75" hidden="false" customHeight="true" outlineLevel="0" collapsed="false">
      <c r="A25" s="3" t="s">
        <v>86</v>
      </c>
      <c r="B25" s="3" t="s">
        <v>86</v>
      </c>
      <c r="C25" s="7" t="n">
        <v>130.2</v>
      </c>
      <c r="D25" s="7" t="n">
        <v>66</v>
      </c>
      <c r="E25" s="7" t="n">
        <v>130.1</v>
      </c>
      <c r="F25" s="7" t="n">
        <v>20.3</v>
      </c>
      <c r="G25" s="7" t="n">
        <v>41</v>
      </c>
      <c r="H25" s="7" t="n">
        <v>2.58</v>
      </c>
      <c r="I25" s="7" t="n">
        <v>39</v>
      </c>
      <c r="J25" s="7" t="n">
        <v>3.43</v>
      </c>
      <c r="K25" s="7" t="n">
        <v>37</v>
      </c>
      <c r="L25" s="7" t="n">
        <v>2.29</v>
      </c>
      <c r="M25" s="7" t="n">
        <v>4</v>
      </c>
      <c r="N25" s="7" t="n">
        <v>1.22</v>
      </c>
      <c r="O25" s="7" t="n">
        <v>5.31</v>
      </c>
      <c r="P25" s="7" t="n">
        <v>13</v>
      </c>
      <c r="Q25" s="7" t="s">
        <v>59</v>
      </c>
      <c r="R25" s="7" t="s">
        <v>57</v>
      </c>
    </row>
    <row r="26" customFormat="false" ht="15.75" hidden="false" customHeight="true" outlineLevel="0" collapsed="false">
      <c r="A26" s="3" t="s">
        <v>87</v>
      </c>
      <c r="B26" s="3" t="s">
        <v>87</v>
      </c>
      <c r="C26" s="7" t="n">
        <v>52.91</v>
      </c>
      <c r="D26" s="7" t="n">
        <v>66</v>
      </c>
      <c r="E26" s="7" t="n">
        <v>53.9</v>
      </c>
      <c r="F26" s="7" t="n">
        <v>6.4</v>
      </c>
      <c r="G26" s="7" t="n">
        <v>40</v>
      </c>
      <c r="H26" s="7" t="n">
        <v>1.44</v>
      </c>
      <c r="I26" s="7" t="n">
        <v>40</v>
      </c>
      <c r="J26" s="7" t="n">
        <v>1.8</v>
      </c>
      <c r="K26" s="7" t="n">
        <v>37</v>
      </c>
      <c r="L26" s="7" t="n">
        <v>1.35</v>
      </c>
      <c r="M26" s="7" t="n">
        <v>4</v>
      </c>
      <c r="N26" s="7" t="n">
        <v>1.02</v>
      </c>
      <c r="O26" s="7" t="n">
        <v>2.51</v>
      </c>
      <c r="P26" s="7" t="n">
        <v>13</v>
      </c>
      <c r="Q26" s="7" t="s">
        <v>76</v>
      </c>
      <c r="R26" s="7" t="s">
        <v>57</v>
      </c>
    </row>
    <row r="27" customFormat="false" ht="15.75" hidden="false" customHeight="true" outlineLevel="0" collapsed="false">
      <c r="A27" s="3" t="s">
        <v>88</v>
      </c>
      <c r="B27" s="3" t="s">
        <v>88</v>
      </c>
      <c r="C27" s="7" t="n">
        <v>53.57</v>
      </c>
      <c r="D27" s="7" t="n">
        <v>68</v>
      </c>
      <c r="E27" s="7" t="n">
        <v>53.2</v>
      </c>
      <c r="F27" s="7" t="n">
        <v>8.2</v>
      </c>
      <c r="G27" s="7" t="n">
        <v>41</v>
      </c>
      <c r="H27" s="7" t="n">
        <v>1.36</v>
      </c>
      <c r="I27" s="7" t="n">
        <v>40</v>
      </c>
      <c r="J27" s="7" t="n">
        <v>1.63</v>
      </c>
      <c r="K27" s="7" t="n">
        <v>37</v>
      </c>
      <c r="L27" s="7" t="n">
        <v>1.27</v>
      </c>
      <c r="M27" s="7" t="n">
        <v>4</v>
      </c>
      <c r="N27" s="7" t="n">
        <v>1.01</v>
      </c>
      <c r="O27" s="7" t="n">
        <v>2.06</v>
      </c>
      <c r="P27" s="7" t="n">
        <v>20</v>
      </c>
      <c r="Q27" s="7" t="s">
        <v>78</v>
      </c>
      <c r="R27" s="7" t="s">
        <v>57</v>
      </c>
    </row>
    <row r="28" customFormat="false" ht="15.75" hidden="false" customHeight="true" outlineLevel="0" collapsed="false">
      <c r="A28" s="3" t="s">
        <v>89</v>
      </c>
      <c r="B28" s="3" t="s">
        <v>89</v>
      </c>
      <c r="C28" s="7" t="n">
        <v>53.64</v>
      </c>
      <c r="D28" s="7" t="n">
        <v>63</v>
      </c>
      <c r="E28" s="7" t="n">
        <v>54.4</v>
      </c>
      <c r="F28" s="7" t="n">
        <v>6.5</v>
      </c>
      <c r="G28" s="7" t="n">
        <v>40</v>
      </c>
      <c r="H28" s="7" t="n">
        <v>1.47</v>
      </c>
      <c r="I28" s="7" t="n">
        <v>39</v>
      </c>
      <c r="J28" s="7" t="n">
        <v>1.76</v>
      </c>
      <c r="K28" s="7" t="n">
        <v>37</v>
      </c>
      <c r="L28" s="7" t="n">
        <v>1.34</v>
      </c>
      <c r="M28" s="7" t="n">
        <v>4</v>
      </c>
      <c r="N28" s="7" t="n">
        <v>1.02</v>
      </c>
      <c r="O28" s="7" t="n">
        <v>2.61</v>
      </c>
      <c r="P28" s="7" t="n">
        <v>13</v>
      </c>
      <c r="Q28" s="7" t="s">
        <v>66</v>
      </c>
      <c r="R28" s="7" t="s">
        <v>57</v>
      </c>
    </row>
    <row r="29" customFormat="false" ht="15.75" hidden="false" customHeight="true" outlineLevel="0" collapsed="false">
      <c r="A29" s="3" t="s">
        <v>90</v>
      </c>
      <c r="B29" s="3" t="s">
        <v>90</v>
      </c>
      <c r="C29" s="7" t="n">
        <v>53.63</v>
      </c>
      <c r="D29" s="7" t="n">
        <v>63</v>
      </c>
      <c r="E29" s="7" t="n">
        <v>53.5</v>
      </c>
      <c r="F29" s="7" t="n">
        <v>6.6</v>
      </c>
      <c r="G29" s="7" t="n">
        <v>39</v>
      </c>
      <c r="H29" s="7" t="n">
        <v>1.64</v>
      </c>
      <c r="I29" s="7" t="n">
        <v>39</v>
      </c>
      <c r="J29" s="7" t="n">
        <v>2.04</v>
      </c>
      <c r="K29" s="7" t="n">
        <v>37</v>
      </c>
      <c r="L29" s="7" t="n">
        <v>1.52</v>
      </c>
      <c r="M29" s="7" t="n">
        <v>4</v>
      </c>
      <c r="N29" s="7" t="n">
        <v>1.06</v>
      </c>
      <c r="O29" s="7" t="n">
        <v>3.19</v>
      </c>
      <c r="P29" s="7" t="n">
        <v>12</v>
      </c>
      <c r="Q29" s="7" t="s">
        <v>56</v>
      </c>
      <c r="R29" s="7" t="s">
        <v>57</v>
      </c>
    </row>
    <row r="30" customFormat="false" ht="15.75" hidden="false" customHeight="true" outlineLevel="0" collapsed="false">
      <c r="A30" s="3" t="s">
        <v>91</v>
      </c>
      <c r="B30" s="3" t="s">
        <v>91</v>
      </c>
      <c r="C30" s="7" t="n">
        <v>55.21</v>
      </c>
      <c r="D30" s="7" t="n">
        <v>71</v>
      </c>
      <c r="E30" s="7" t="n">
        <v>54.7</v>
      </c>
      <c r="F30" s="7" t="n">
        <v>8.5</v>
      </c>
      <c r="G30" s="7" t="n">
        <v>40</v>
      </c>
      <c r="H30" s="7" t="n">
        <v>1.91</v>
      </c>
      <c r="I30" s="7" t="n">
        <v>39</v>
      </c>
      <c r="J30" s="7" t="n">
        <v>2.13</v>
      </c>
      <c r="K30" s="7" t="n">
        <v>37</v>
      </c>
      <c r="L30" s="7" t="n">
        <v>2.01</v>
      </c>
      <c r="M30" s="7" t="n">
        <v>4</v>
      </c>
      <c r="N30" s="7" t="n">
        <v>1.15</v>
      </c>
      <c r="O30" s="7" t="n">
        <v>3.66</v>
      </c>
      <c r="P30" s="7" t="n">
        <v>12</v>
      </c>
      <c r="Q30" s="7" t="s">
        <v>59</v>
      </c>
      <c r="R30" s="7" t="s">
        <v>57</v>
      </c>
    </row>
    <row r="31" customFormat="false" ht="15.75" hidden="false" customHeight="true" outlineLevel="0" collapsed="false">
      <c r="A31" s="3" t="s">
        <v>92</v>
      </c>
      <c r="B31" s="3" t="s">
        <v>91</v>
      </c>
      <c r="C31" s="7" t="n">
        <v>55.21</v>
      </c>
      <c r="D31" s="7" t="n">
        <v>71</v>
      </c>
      <c r="E31" s="7" t="n">
        <v>54.7</v>
      </c>
      <c r="F31" s="7" t="n">
        <v>8.5</v>
      </c>
      <c r="G31" s="7" t="n">
        <v>40</v>
      </c>
      <c r="H31" s="7" t="n">
        <v>1.91</v>
      </c>
      <c r="I31" s="7" t="n">
        <v>39</v>
      </c>
      <c r="J31" s="7" t="n">
        <v>2.13</v>
      </c>
      <c r="K31" s="7" t="n">
        <v>37</v>
      </c>
      <c r="L31" s="7" t="n">
        <v>2.01</v>
      </c>
      <c r="M31" s="7" t="n">
        <v>4</v>
      </c>
      <c r="N31" s="7" t="n">
        <v>1.15</v>
      </c>
      <c r="O31" s="7" t="n">
        <v>3.66</v>
      </c>
      <c r="P31" s="7" t="n">
        <v>12</v>
      </c>
      <c r="Q31" s="7" t="s">
        <v>93</v>
      </c>
      <c r="R31" s="7" t="s">
        <v>57</v>
      </c>
    </row>
    <row r="32" customFormat="false" ht="15.75" hidden="false" customHeight="true" outlineLevel="0" collapsed="false">
      <c r="A32" s="3" t="s">
        <v>94</v>
      </c>
      <c r="B32" s="3" t="s">
        <v>94</v>
      </c>
      <c r="C32" s="7" t="n">
        <v>96.85</v>
      </c>
      <c r="D32" s="7" t="n">
        <v>68</v>
      </c>
      <c r="E32" s="7" t="n">
        <v>94.5</v>
      </c>
      <c r="F32" s="7" t="n">
        <v>11.9</v>
      </c>
      <c r="G32" s="7" t="n">
        <v>40</v>
      </c>
      <c r="H32" s="7" t="n">
        <v>1.38</v>
      </c>
      <c r="I32" s="7" t="n">
        <v>40</v>
      </c>
      <c r="J32" s="7" t="n">
        <v>1.6</v>
      </c>
      <c r="K32" s="7" t="n">
        <v>37</v>
      </c>
      <c r="L32" s="7" t="n">
        <v>1.35</v>
      </c>
      <c r="M32" s="7" t="n">
        <v>4</v>
      </c>
      <c r="N32" s="7" t="n">
        <v>1.01</v>
      </c>
      <c r="O32" s="7" t="n">
        <v>2.28</v>
      </c>
      <c r="P32" s="7" t="n">
        <v>20</v>
      </c>
      <c r="Q32" s="7" t="s">
        <v>76</v>
      </c>
      <c r="R32" s="7" t="s">
        <v>57</v>
      </c>
    </row>
    <row r="33" customFormat="false" ht="15.75" hidden="false" customHeight="true" outlineLevel="0" collapsed="false">
      <c r="A33" s="3" t="s">
        <v>95</v>
      </c>
      <c r="B33" s="3" t="s">
        <v>95</v>
      </c>
      <c r="C33" s="7" t="n">
        <v>93.61</v>
      </c>
      <c r="D33" s="7" t="n">
        <v>67</v>
      </c>
      <c r="E33" s="7" t="n">
        <v>93.1</v>
      </c>
      <c r="F33" s="7" t="n">
        <v>9.7</v>
      </c>
      <c r="G33" s="7" t="n">
        <v>39</v>
      </c>
      <c r="H33" s="7" t="n">
        <v>1.36</v>
      </c>
      <c r="I33" s="7" t="n">
        <v>40</v>
      </c>
      <c r="J33" s="7" t="n">
        <v>1.54</v>
      </c>
      <c r="K33" s="7" t="n">
        <v>37</v>
      </c>
      <c r="L33" s="7" t="n">
        <v>1.22</v>
      </c>
      <c r="M33" s="7" t="n">
        <v>4</v>
      </c>
      <c r="N33" s="7" t="n">
        <v>1.01</v>
      </c>
      <c r="O33" s="7" t="n">
        <v>2.41</v>
      </c>
      <c r="P33" s="7" t="n">
        <v>20</v>
      </c>
      <c r="Q33" s="7" t="s">
        <v>78</v>
      </c>
      <c r="R33" s="7" t="s">
        <v>57</v>
      </c>
    </row>
    <row r="34" customFormat="false" ht="15.75" hidden="false" customHeight="true" outlineLevel="0" collapsed="false">
      <c r="A34" s="3" t="s">
        <v>96</v>
      </c>
      <c r="B34" s="3" t="s">
        <v>96</v>
      </c>
      <c r="C34" s="7" t="n">
        <v>94.86</v>
      </c>
      <c r="D34" s="7" t="n">
        <v>67</v>
      </c>
      <c r="E34" s="7" t="n">
        <v>93.5</v>
      </c>
      <c r="F34" s="7" t="n">
        <v>9.1</v>
      </c>
      <c r="G34" s="7" t="n">
        <v>40</v>
      </c>
      <c r="H34" s="7" t="n">
        <v>1.37</v>
      </c>
      <c r="I34" s="7" t="n">
        <v>41</v>
      </c>
      <c r="J34" s="7" t="n">
        <v>1.63</v>
      </c>
      <c r="K34" s="7" t="n">
        <v>37</v>
      </c>
      <c r="L34" s="7" t="n">
        <v>1.32</v>
      </c>
      <c r="M34" s="7" t="n">
        <v>4</v>
      </c>
      <c r="N34" s="7" t="n">
        <v>1.01</v>
      </c>
      <c r="O34" s="7" t="n">
        <v>2.48</v>
      </c>
      <c r="P34" s="7" t="n">
        <v>20</v>
      </c>
      <c r="Q34" s="7" t="s">
        <v>66</v>
      </c>
      <c r="R34" s="7" t="s">
        <v>57</v>
      </c>
    </row>
    <row r="35" customFormat="false" ht="15.75" hidden="false" customHeight="true" outlineLevel="0" collapsed="false">
      <c r="A35" s="3" t="s">
        <v>97</v>
      </c>
      <c r="B35" s="3" t="s">
        <v>97</v>
      </c>
      <c r="C35" s="7" t="n">
        <v>95.52</v>
      </c>
      <c r="D35" s="7" t="n">
        <v>66</v>
      </c>
      <c r="E35" s="7" t="n">
        <v>94</v>
      </c>
      <c r="F35" s="7" t="n">
        <v>9.7</v>
      </c>
      <c r="G35" s="7" t="n">
        <v>40</v>
      </c>
      <c r="H35" s="7" t="n">
        <v>1.45</v>
      </c>
      <c r="I35" s="7" t="n">
        <v>39</v>
      </c>
      <c r="J35" s="7" t="n">
        <v>1.66</v>
      </c>
      <c r="K35" s="7" t="n">
        <v>38</v>
      </c>
      <c r="L35" s="7" t="n">
        <v>1.34</v>
      </c>
      <c r="M35" s="7" t="n">
        <v>4</v>
      </c>
      <c r="N35" s="7" t="n">
        <v>1.02</v>
      </c>
      <c r="O35" s="7" t="n">
        <v>2.8</v>
      </c>
      <c r="P35" s="7" t="n">
        <v>20</v>
      </c>
      <c r="Q35" s="7" t="s">
        <v>56</v>
      </c>
      <c r="R35" s="7" t="s">
        <v>57</v>
      </c>
    </row>
    <row r="36" customFormat="false" ht="15.75" hidden="false" customHeight="true" outlineLevel="0" collapsed="false">
      <c r="A36" s="3" t="s">
        <v>98</v>
      </c>
      <c r="B36" s="3" t="s">
        <v>98</v>
      </c>
      <c r="C36" s="7" t="n">
        <v>95.22</v>
      </c>
      <c r="D36" s="7" t="n">
        <v>66</v>
      </c>
      <c r="E36" s="7" t="n">
        <v>94.7</v>
      </c>
      <c r="F36" s="7" t="n">
        <v>8.4</v>
      </c>
      <c r="G36" s="7" t="n">
        <v>40</v>
      </c>
      <c r="H36" s="7" t="n">
        <v>1.68</v>
      </c>
      <c r="I36" s="7" t="n">
        <v>39</v>
      </c>
      <c r="J36" s="7" t="n">
        <v>1.94</v>
      </c>
      <c r="K36" s="7" t="n">
        <v>36</v>
      </c>
      <c r="L36" s="7" t="n">
        <v>1.57</v>
      </c>
      <c r="M36" s="7" t="n">
        <v>3</v>
      </c>
      <c r="N36" s="7" t="n">
        <v>1.08</v>
      </c>
      <c r="O36" s="7" t="n">
        <v>3.88</v>
      </c>
      <c r="P36" s="7" t="n">
        <v>20</v>
      </c>
      <c r="Q36" s="7" t="s">
        <v>59</v>
      </c>
      <c r="R36" s="7" t="s">
        <v>57</v>
      </c>
    </row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6" min="4" style="1" width="12"/>
    <col collapsed="false" customWidth="true" hidden="false" outlineLevel="0" max="7" min="7" style="1" width="14"/>
    <col collapsed="false" customWidth="true" hidden="false" outlineLevel="0" max="8" min="8" style="1" width="8"/>
    <col collapsed="false" customWidth="true" hidden="false" outlineLevel="0" max="9" min="9" style="1" width="14"/>
    <col collapsed="false" customWidth="true" hidden="false" outlineLevel="0" max="10" min="10" style="1" width="18"/>
    <col collapsed="false" customWidth="true" hidden="false" outlineLevel="0" max="11" min="11" style="1" width="16"/>
    <col collapsed="false" customWidth="true" hidden="false" outlineLevel="0" max="12" min="12" style="1" width="18"/>
    <col collapsed="false" customWidth="true" hidden="false" outlineLevel="0" max="26" min="13" style="1" width="8.71"/>
  </cols>
  <sheetData>
    <row r="1" customFormat="false" ht="15" hidden="false" customHeight="true" outlineLevel="0" collapsed="false">
      <c r="A1" s="2" t="s">
        <v>99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15" hidden="false" customHeight="true" outlineLevel="0" collapsed="false">
      <c r="A2" s="2" t="s">
        <v>100</v>
      </c>
      <c r="B2" s="2" t="s">
        <v>101</v>
      </c>
      <c r="C2" s="2" t="s">
        <v>102</v>
      </c>
      <c r="D2" s="2" t="s">
        <v>103</v>
      </c>
      <c r="E2" s="2" t="s">
        <v>104</v>
      </c>
      <c r="F2" s="2" t="s">
        <v>105</v>
      </c>
      <c r="G2" s="2" t="s">
        <v>106</v>
      </c>
      <c r="H2" s="2" t="s">
        <v>107</v>
      </c>
      <c r="I2" s="2" t="s">
        <v>108</v>
      </c>
      <c r="J2" s="2" t="s">
        <v>109</v>
      </c>
      <c r="K2" s="2" t="s">
        <v>110</v>
      </c>
      <c r="L2" s="2" t="s">
        <v>111</v>
      </c>
    </row>
    <row r="3" customFormat="false" ht="15" hidden="false" customHeight="true" outlineLevel="0" collapsed="false">
      <c r="A3" s="3" t="s">
        <v>52</v>
      </c>
      <c r="B3" s="8" t="n">
        <f aca="false">Assumptions!$B$3*Assumptions!$B$4</f>
        <v>1.92333333333333</v>
      </c>
      <c r="C3" s="9" t="n">
        <f aca="false">Corpus!C3</f>
        <v>78.3</v>
      </c>
      <c r="D3" s="10" t="n">
        <f aca="false">Assumptions!$B$5/C3</f>
        <v>1</v>
      </c>
      <c r="E3" s="8" t="n">
        <f aca="false">B3*D3</f>
        <v>1.92333333333333</v>
      </c>
      <c r="F3" s="8" t="n">
        <f aca="false">Assumptions!$B$6</f>
        <v>1.05</v>
      </c>
      <c r="G3" s="8" t="n">
        <f aca="false">E3*F3</f>
        <v>2.0195</v>
      </c>
      <c r="H3" s="8" t="n">
        <f aca="false">IF(Corpus!R3="5x",Assumptions!$B$7,Assumptions!$B$8)</f>
        <v>1</v>
      </c>
      <c r="I3" s="8" t="n">
        <f aca="false">G3*H3</f>
        <v>2.0195</v>
      </c>
      <c r="J3" s="11" t="str">
        <f aca="false">Corpus!Q3</f>
        <v>None</v>
      </c>
      <c r="K3" s="12" t="n">
        <f aca="false">Corpus!H3</f>
        <v>1</v>
      </c>
      <c r="L3" s="8" t="n">
        <f aca="false">I3*K3</f>
        <v>2.0195</v>
      </c>
    </row>
    <row r="4" customFormat="false" ht="15" hidden="false" customHeight="true" outlineLevel="0" collapsed="false">
      <c r="A4" s="3" t="s">
        <v>55</v>
      </c>
      <c r="B4" s="8" t="n">
        <f aca="false">Assumptions!$B$3*Assumptions!$B$4</f>
        <v>1.92333333333333</v>
      </c>
      <c r="C4" s="9" t="n">
        <f aca="false">Corpus!C4</f>
        <v>69</v>
      </c>
      <c r="D4" s="10" t="n">
        <f aca="false">Assumptions!$B$5/C4</f>
        <v>1.13478260869565</v>
      </c>
      <c r="E4" s="8" t="n">
        <f aca="false">B4*D4</f>
        <v>2.1825652173913</v>
      </c>
      <c r="F4" s="8" t="n">
        <f aca="false">Assumptions!$B$6</f>
        <v>1.05</v>
      </c>
      <c r="G4" s="8" t="n">
        <f aca="false">E4*F4</f>
        <v>2.29169347826087</v>
      </c>
      <c r="H4" s="8" t="n">
        <v>2.99</v>
      </c>
      <c r="I4" s="8" t="n">
        <f aca="false">G4*H4</f>
        <v>6.8521635</v>
      </c>
      <c r="J4" s="11" t="str">
        <f aca="false">Corpus!Q4</f>
        <v>High</v>
      </c>
      <c r="K4" s="12" t="n">
        <f aca="false">Corpus!H4</f>
        <v>6.12</v>
      </c>
      <c r="L4" s="8" t="n">
        <f aca="false">I4*K4</f>
        <v>41.93524062</v>
      </c>
    </row>
    <row r="5" customFormat="false" ht="15" hidden="false" customHeight="true" outlineLevel="0" collapsed="false">
      <c r="A5" s="3" t="s">
        <v>58</v>
      </c>
      <c r="B5" s="8" t="n">
        <f aca="false">Assumptions!$B$3*Assumptions!$B$4</f>
        <v>1.92333333333333</v>
      </c>
      <c r="C5" s="9" t="n">
        <f aca="false">Corpus!C5</f>
        <v>61.85</v>
      </c>
      <c r="D5" s="10" t="n">
        <f aca="false">Assumptions!$B$5/C5</f>
        <v>1.26596604688763</v>
      </c>
      <c r="E5" s="8" t="n">
        <f aca="false">B5*D5</f>
        <v>2.43487469684721</v>
      </c>
      <c r="F5" s="8" t="n">
        <f aca="false">Assumptions!$B$6</f>
        <v>1.05</v>
      </c>
      <c r="G5" s="8" t="n">
        <f aca="false">E5*F5</f>
        <v>2.55661843168957</v>
      </c>
      <c r="H5" s="8" t="n">
        <v>2.99</v>
      </c>
      <c r="I5" s="8" t="n">
        <f aca="false">G5*H5</f>
        <v>7.64428911075182</v>
      </c>
      <c r="J5" s="11" t="str">
        <f aca="false">Corpus!Q5</f>
        <v>xHigh</v>
      </c>
      <c r="K5" s="12" t="n">
        <f aca="false">Corpus!H5</f>
        <v>3.75</v>
      </c>
      <c r="L5" s="8" t="n">
        <f aca="false">I5*K5</f>
        <v>28.6660841653193</v>
      </c>
    </row>
    <row r="6" customFormat="false" ht="15" hidden="false" customHeight="true" outlineLevel="0" collapsed="false">
      <c r="A6" s="3" t="s">
        <v>60</v>
      </c>
      <c r="B6" s="8" t="n">
        <f aca="false">Assumptions!$B$3*Assumptions!$B$4</f>
        <v>1.92333333333333</v>
      </c>
      <c r="C6" s="9" t="n">
        <f aca="false">Corpus!C6</f>
        <v>60.3</v>
      </c>
      <c r="D6" s="10" t="n">
        <f aca="false">Assumptions!$B$5/C6</f>
        <v>1.29850746268657</v>
      </c>
      <c r="E6" s="8" t="n">
        <f aca="false">B6*D6</f>
        <v>2.49746268656716</v>
      </c>
      <c r="F6" s="8" t="n">
        <f aca="false">Assumptions!$B$6</f>
        <v>1.05</v>
      </c>
      <c r="G6" s="8" t="n">
        <f aca="false">E6*F6</f>
        <v>2.62233582089552</v>
      </c>
      <c r="H6" s="8" t="n">
        <v>2.99</v>
      </c>
      <c r="I6" s="8" t="n">
        <f aca="false">G6*H6</f>
        <v>7.84078410447761</v>
      </c>
      <c r="J6" s="11" t="str">
        <f aca="false">Corpus!Q6</f>
        <v>None</v>
      </c>
      <c r="K6" s="12" t="n">
        <f aca="false">Corpus!H6</f>
        <v>1</v>
      </c>
      <c r="L6" s="8" t="n">
        <f aca="false">I6*K6</f>
        <v>7.84078410447761</v>
      </c>
    </row>
    <row r="7" customFormat="false" ht="15" hidden="false" customHeight="true" outlineLevel="0" collapsed="false">
      <c r="A7" s="3" t="s">
        <v>62</v>
      </c>
      <c r="B7" s="8" t="n">
        <f aca="false">Assumptions!$B$3*Assumptions!$B$4</f>
        <v>1.92333333333333</v>
      </c>
      <c r="C7" s="9" t="n">
        <f aca="false">Corpus!C7</f>
        <v>59.39</v>
      </c>
      <c r="D7" s="10" t="n">
        <f aca="false">Assumptions!$B$5/C7</f>
        <v>1.31840377167873</v>
      </c>
      <c r="E7" s="8" t="n">
        <f aca="false">B7*D7</f>
        <v>2.5357299208621</v>
      </c>
      <c r="F7" s="8" t="n">
        <f aca="false">Assumptions!$B$6</f>
        <v>1.05</v>
      </c>
      <c r="G7" s="8" t="n">
        <f aca="false">E7*F7</f>
        <v>2.6625164169052</v>
      </c>
      <c r="H7" s="8" t="n">
        <v>2.99</v>
      </c>
      <c r="I7" s="8" t="n">
        <f aca="false">G7*H7</f>
        <v>7.96092408654656</v>
      </c>
      <c r="J7" s="11" t="str">
        <f aca="false">Corpus!Q7</f>
        <v>xHigh</v>
      </c>
      <c r="K7" s="12" t="n">
        <f aca="false">Corpus!H7</f>
        <v>3.22</v>
      </c>
      <c r="L7" s="8" t="n">
        <f aca="false">I7*K7</f>
        <v>25.6341755586799</v>
      </c>
    </row>
    <row r="8" customFormat="false" ht="15" hidden="false" customHeight="true" outlineLevel="0" collapsed="false">
      <c r="A8" s="3" t="s">
        <v>63</v>
      </c>
      <c r="B8" s="8" t="n">
        <f aca="false">Assumptions!$B$3*Assumptions!$B$4</f>
        <v>1.92333333333333</v>
      </c>
      <c r="C8" s="9" t="n">
        <f aca="false">Corpus!C8</f>
        <v>156.58</v>
      </c>
      <c r="D8" s="10" t="n">
        <f aca="false">Assumptions!$B$5/C8</f>
        <v>0.500063865116873</v>
      </c>
      <c r="E8" s="8" t="n">
        <f aca="false">B8*D8</f>
        <v>0.961789500574786</v>
      </c>
      <c r="F8" s="8" t="n">
        <f aca="false">Assumptions!$B$6</f>
        <v>1.05</v>
      </c>
      <c r="G8" s="8" t="n">
        <f aca="false">E8*F8</f>
        <v>1.00987897560353</v>
      </c>
      <c r="H8" s="8" t="n">
        <v>2.99</v>
      </c>
      <c r="I8" s="8" t="n">
        <f aca="false">G8*H8</f>
        <v>3.01953813705454</v>
      </c>
      <c r="J8" s="11" t="str">
        <f aca="false">Corpus!Q8</f>
        <v>None</v>
      </c>
      <c r="K8" s="12" t="n">
        <f aca="false">Corpus!H8</f>
        <v>1</v>
      </c>
      <c r="L8" s="8" t="n">
        <f aca="false">I8*K8</f>
        <v>3.01953813705454</v>
      </c>
    </row>
    <row r="9" customFormat="false" ht="15" hidden="false" customHeight="true" outlineLevel="0" collapsed="false">
      <c r="A9" s="3" t="s">
        <v>65</v>
      </c>
      <c r="B9" s="8" t="n">
        <f aca="false">Assumptions!$B$3*Assumptions!$B$4</f>
        <v>1.92333333333333</v>
      </c>
      <c r="C9" s="9" t="n">
        <f aca="false">Corpus!C9</f>
        <v>156</v>
      </c>
      <c r="D9" s="10" t="n">
        <f aca="false">Assumptions!$B$5/C9</f>
        <v>0.501923076923077</v>
      </c>
      <c r="E9" s="8" t="n">
        <f aca="false">B9*D9</f>
        <v>0.965365384615385</v>
      </c>
      <c r="F9" s="8" t="n">
        <f aca="false">Assumptions!$B$6</f>
        <v>1.05</v>
      </c>
      <c r="G9" s="8" t="n">
        <f aca="false">E9*F9</f>
        <v>1.01363365384615</v>
      </c>
      <c r="H9" s="8" t="n">
        <v>2.99</v>
      </c>
      <c r="I9" s="8" t="n">
        <f aca="false">G9*H9</f>
        <v>3.030764625</v>
      </c>
      <c r="J9" s="11" t="str">
        <f aca="false">Corpus!Q9</f>
        <v>Medium</v>
      </c>
      <c r="K9" s="12" t="n">
        <f aca="false">Corpus!H9</f>
        <v>1.83</v>
      </c>
      <c r="L9" s="8" t="n">
        <f aca="false">I9*K9</f>
        <v>5.54629926375</v>
      </c>
    </row>
    <row r="10" customFormat="false" ht="15" hidden="false" customHeight="true" outlineLevel="0" collapsed="false">
      <c r="A10" s="3" t="s">
        <v>67</v>
      </c>
      <c r="B10" s="8" t="n">
        <f aca="false">Assumptions!$B$3*Assumptions!$B$4</f>
        <v>1.92333333333333</v>
      </c>
      <c r="C10" s="9" t="n">
        <f aca="false">Corpus!C10</f>
        <v>154.37</v>
      </c>
      <c r="D10" s="10" t="n">
        <f aca="false">Assumptions!$B$5/C10</f>
        <v>0.507222906005053</v>
      </c>
      <c r="E10" s="8" t="n">
        <f aca="false">B10*D10</f>
        <v>0.975558722549718</v>
      </c>
      <c r="F10" s="8" t="n">
        <f aca="false">Assumptions!$B$6</f>
        <v>1.05</v>
      </c>
      <c r="G10" s="8" t="n">
        <f aca="false">E10*F10</f>
        <v>1.0243366586772</v>
      </c>
      <c r="H10" s="8" t="n">
        <v>2.99</v>
      </c>
      <c r="I10" s="8" t="n">
        <f aca="false">G10*H10</f>
        <v>3.06276660944484</v>
      </c>
      <c r="J10" s="11" t="str">
        <f aca="false">Corpus!Q10</f>
        <v>xHigh</v>
      </c>
      <c r="K10" s="12" t="n">
        <f aca="false">Corpus!H10</f>
        <v>3.7</v>
      </c>
      <c r="L10" s="8" t="n">
        <f aca="false">I10*K10</f>
        <v>11.3322364549459</v>
      </c>
    </row>
    <row r="11" customFormat="false" ht="15" hidden="false" customHeight="true" outlineLevel="0" collapsed="false">
      <c r="A11" s="3" t="s">
        <v>68</v>
      </c>
      <c r="B11" s="8" t="n">
        <f aca="false">Assumptions!$B$3*Assumptions!$B$4</f>
        <v>1.92333333333333</v>
      </c>
      <c r="C11" s="9" t="n">
        <f aca="false">Corpus!C11</f>
        <v>145.41</v>
      </c>
      <c r="D11" s="10" t="n">
        <f aca="false">Assumptions!$B$5/C11</f>
        <v>0.538477408706416</v>
      </c>
      <c r="E11" s="8" t="n">
        <f aca="false">B11*D11</f>
        <v>1.03567154941201</v>
      </c>
      <c r="F11" s="8" t="n">
        <f aca="false">Assumptions!$B$6</f>
        <v>1.05</v>
      </c>
      <c r="G11" s="8" t="n">
        <f aca="false">E11*F11</f>
        <v>1.08745512688261</v>
      </c>
      <c r="H11" s="8" t="n">
        <v>2.99</v>
      </c>
      <c r="I11" s="8" t="n">
        <f aca="false">G11*H11</f>
        <v>3.251490829379</v>
      </c>
      <c r="J11" s="11" t="str">
        <f aca="false">Corpus!Q11</f>
        <v>None</v>
      </c>
      <c r="K11" s="12" t="n">
        <f aca="false">Corpus!H11</f>
        <v>1</v>
      </c>
      <c r="L11" s="8" t="n">
        <f aca="false">I11*K11</f>
        <v>3.251490829379</v>
      </c>
    </row>
    <row r="12" customFormat="false" ht="15" hidden="false" customHeight="true" outlineLevel="0" collapsed="false">
      <c r="A12" s="3" t="s">
        <v>70</v>
      </c>
      <c r="B12" s="8" t="n">
        <f aca="false">Assumptions!$B$3*Assumptions!$B$4</f>
        <v>1.92333333333333</v>
      </c>
      <c r="C12" s="9" t="n">
        <f aca="false">Corpus!C12</f>
        <v>140.63</v>
      </c>
      <c r="D12" s="10" t="n">
        <f aca="false">Assumptions!$B$5/C12</f>
        <v>0.556780203370547</v>
      </c>
      <c r="E12" s="8" t="n">
        <f aca="false">B12*D12</f>
        <v>1.07087392448269</v>
      </c>
      <c r="F12" s="8" t="n">
        <f aca="false">Assumptions!$B$6</f>
        <v>1.05</v>
      </c>
      <c r="G12" s="8" t="n">
        <f aca="false">E12*F12</f>
        <v>1.12441762070682</v>
      </c>
      <c r="H12" s="8" t="n">
        <v>2.99</v>
      </c>
      <c r="I12" s="8" t="n">
        <f aca="false">G12*H12</f>
        <v>3.36200868591339</v>
      </c>
      <c r="J12" s="11" t="str">
        <f aca="false">Corpus!Q12</f>
        <v>Medium</v>
      </c>
      <c r="K12" s="12" t="n">
        <f aca="false">Corpus!H12</f>
        <v>1.67</v>
      </c>
      <c r="L12" s="8" t="n">
        <f aca="false">I12*K12</f>
        <v>5.61455450547536</v>
      </c>
    </row>
    <row r="13" customFormat="false" ht="15" hidden="false" customHeight="true" outlineLevel="0" collapsed="false">
      <c r="A13" s="3" t="s">
        <v>71</v>
      </c>
      <c r="B13" s="8" t="n">
        <f aca="false">Assumptions!$B$3*Assumptions!$B$4</f>
        <v>1.92333333333333</v>
      </c>
      <c r="C13" s="9" t="n">
        <f aca="false">Corpus!C13</f>
        <v>145.78</v>
      </c>
      <c r="D13" s="10" t="n">
        <f aca="false">Assumptions!$B$5/C13</f>
        <v>0.537110714775689</v>
      </c>
      <c r="E13" s="8" t="n">
        <f aca="false">B13*D13</f>
        <v>1.03304294141858</v>
      </c>
      <c r="F13" s="8" t="n">
        <f aca="false">Assumptions!$B$6</f>
        <v>1.05</v>
      </c>
      <c r="G13" s="8" t="n">
        <f aca="false">E13*F13</f>
        <v>1.0846950884895</v>
      </c>
      <c r="H13" s="8" t="n">
        <v>2.99</v>
      </c>
      <c r="I13" s="8" t="n">
        <f aca="false">G13*H13</f>
        <v>3.24323831458362</v>
      </c>
      <c r="J13" s="11" t="str">
        <f aca="false">Corpus!Q13</f>
        <v>xHigh</v>
      </c>
      <c r="K13" s="12" t="n">
        <f aca="false">Corpus!H13</f>
        <v>13.01</v>
      </c>
      <c r="L13" s="8" t="n">
        <f aca="false">I13*K13</f>
        <v>42.1945304727329</v>
      </c>
    </row>
    <row r="14" customFormat="false" ht="15" hidden="false" customHeight="true" outlineLevel="0" collapsed="false">
      <c r="A14" s="3" t="s">
        <v>72</v>
      </c>
      <c r="B14" s="8" t="n">
        <f aca="false">Assumptions!$B$3*Assumptions!$B$4</f>
        <v>1.92333333333333</v>
      </c>
      <c r="C14" s="9" t="n">
        <f aca="false">Corpus!C14</f>
        <v>85.94</v>
      </c>
      <c r="D14" s="10" t="n">
        <f aca="false">Assumptions!$B$5/C14</f>
        <v>0.911100767977659</v>
      </c>
      <c r="E14" s="8" t="n">
        <f aca="false">B14*D14</f>
        <v>1.75235047707703</v>
      </c>
      <c r="F14" s="8" t="n">
        <f aca="false">Assumptions!$B$6</f>
        <v>1.05</v>
      </c>
      <c r="G14" s="8" t="n">
        <f aca="false">E14*F14</f>
        <v>1.83996800093088</v>
      </c>
      <c r="H14" s="8" t="n">
        <v>2.99</v>
      </c>
      <c r="I14" s="8" t="n">
        <f aca="false">G14*H14</f>
        <v>5.50150432278334</v>
      </c>
      <c r="J14" s="11" t="str">
        <f aca="false">Corpus!Q14</f>
        <v>None</v>
      </c>
      <c r="K14" s="12" t="n">
        <f aca="false">Corpus!H14</f>
        <v>1</v>
      </c>
      <c r="L14" s="8" t="n">
        <f aca="false">I14*K14</f>
        <v>5.50150432278334</v>
      </c>
    </row>
    <row r="15" customFormat="false" ht="15" hidden="false" customHeight="true" outlineLevel="0" collapsed="false">
      <c r="A15" s="3" t="s">
        <v>74</v>
      </c>
      <c r="B15" s="8" t="n">
        <f aca="false">Assumptions!$B$3*Assumptions!$B$4</f>
        <v>1.92333333333333</v>
      </c>
      <c r="C15" s="9" t="n">
        <f aca="false">Corpus!C15</f>
        <v>95.16</v>
      </c>
      <c r="D15" s="10" t="n">
        <f aca="false">Assumptions!$B$5/C15</f>
        <v>0.822824716267339</v>
      </c>
      <c r="E15" s="8" t="n">
        <f aca="false">B15*D15</f>
        <v>1.58256620428752</v>
      </c>
      <c r="F15" s="8" t="n">
        <f aca="false">Assumptions!$B$6</f>
        <v>1.05</v>
      </c>
      <c r="G15" s="8" t="n">
        <f aca="false">E15*F15</f>
        <v>1.66169451450189</v>
      </c>
      <c r="H15" s="8" t="n">
        <v>2.99</v>
      </c>
      <c r="I15" s="8" t="n">
        <f aca="false">G15*H15</f>
        <v>4.96846659836066</v>
      </c>
      <c r="J15" s="11" t="str">
        <f aca="false">Corpus!Q15</f>
        <v>xHigh</v>
      </c>
      <c r="K15" s="12" t="n">
        <f aca="false">Corpus!H15</f>
        <v>3.89</v>
      </c>
      <c r="L15" s="8" t="n">
        <f aca="false">I15*K15</f>
        <v>19.327335067623</v>
      </c>
    </row>
    <row r="16" customFormat="false" ht="15" hidden="false" customHeight="true" outlineLevel="0" collapsed="false">
      <c r="A16" s="3" t="s">
        <v>75</v>
      </c>
      <c r="B16" s="8" t="n">
        <f aca="false">Assumptions!$B$3*Assumptions!$B$4</f>
        <v>1.92333333333333</v>
      </c>
      <c r="C16" s="9" t="n">
        <f aca="false">Corpus!C16</f>
        <v>59.88</v>
      </c>
      <c r="D16" s="10" t="n">
        <f aca="false">Assumptions!$B$5/C16</f>
        <v>1.30761523046092</v>
      </c>
      <c r="E16" s="8" t="n">
        <f aca="false">B16*D16</f>
        <v>2.51497995991984</v>
      </c>
      <c r="F16" s="8" t="n">
        <f aca="false">Assumptions!$B$6</f>
        <v>1.05</v>
      </c>
      <c r="G16" s="8" t="n">
        <f aca="false">E16*F16</f>
        <v>2.64072895791583</v>
      </c>
      <c r="H16" s="8" t="n">
        <v>2.99</v>
      </c>
      <c r="I16" s="8" t="n">
        <f aca="false">G16*H16</f>
        <v>7.89577958416834</v>
      </c>
      <c r="J16" s="11" t="str">
        <f aca="false">Corpus!Q16</f>
        <v>Minimal (measured)</v>
      </c>
      <c r="K16" s="12" t="n">
        <f aca="false">Corpus!H16</f>
        <v>1.71</v>
      </c>
      <c r="L16" s="8" t="n">
        <f aca="false">I16*K16</f>
        <v>13.5017830889279</v>
      </c>
    </row>
    <row r="17" customFormat="false" ht="15" hidden="false" customHeight="true" outlineLevel="0" collapsed="false">
      <c r="A17" s="3" t="s">
        <v>77</v>
      </c>
      <c r="B17" s="8" t="n">
        <f aca="false">Assumptions!$B$3*Assumptions!$B$4</f>
        <v>1.92333333333333</v>
      </c>
      <c r="C17" s="9" t="n">
        <f aca="false">Corpus!C17</f>
        <v>61.38</v>
      </c>
      <c r="D17" s="10" t="n">
        <f aca="false">Assumptions!$B$5/C17</f>
        <v>1.27565982404692</v>
      </c>
      <c r="E17" s="8" t="n">
        <f aca="false">B17*D17</f>
        <v>2.45351906158358</v>
      </c>
      <c r="F17" s="8" t="n">
        <f aca="false">Assumptions!$B$6</f>
        <v>1.05</v>
      </c>
      <c r="G17" s="8" t="n">
        <f aca="false">E17*F17</f>
        <v>2.57619501466276</v>
      </c>
      <c r="H17" s="8" t="n">
        <v>2.99</v>
      </c>
      <c r="I17" s="8" t="n">
        <f aca="false">G17*H17</f>
        <v>7.70282309384164</v>
      </c>
      <c r="J17" s="11" t="str">
        <f aca="false">Corpus!Q17</f>
        <v>Low</v>
      </c>
      <c r="K17" s="12" t="n">
        <f aca="false">Corpus!H17</f>
        <v>1.45</v>
      </c>
      <c r="L17" s="8" t="n">
        <f aca="false">I17*K17</f>
        <v>11.1690934860704</v>
      </c>
    </row>
    <row r="18" customFormat="false" ht="15" hidden="false" customHeight="true" outlineLevel="0" collapsed="false">
      <c r="A18" s="3" t="s">
        <v>79</v>
      </c>
      <c r="B18" s="8" t="n">
        <f aca="false">Assumptions!$B$3*Assumptions!$B$4</f>
        <v>1.92333333333333</v>
      </c>
      <c r="C18" s="9" t="n">
        <f aca="false">Corpus!C18</f>
        <v>60.89</v>
      </c>
      <c r="D18" s="10" t="n">
        <f aca="false">Assumptions!$B$5/C18</f>
        <v>1.2859254393168</v>
      </c>
      <c r="E18" s="8" t="n">
        <f aca="false">B18*D18</f>
        <v>2.47326326161931</v>
      </c>
      <c r="F18" s="8" t="n">
        <f aca="false">Assumptions!$B$6</f>
        <v>1.05</v>
      </c>
      <c r="G18" s="8" t="n">
        <f aca="false">E18*F18</f>
        <v>2.59692642470028</v>
      </c>
      <c r="H18" s="8" t="n">
        <v>2.99</v>
      </c>
      <c r="I18" s="8" t="n">
        <f aca="false">G18*H18</f>
        <v>7.76481000985384</v>
      </c>
      <c r="J18" s="11" t="str">
        <f aca="false">Corpus!Q18</f>
        <v>Medium</v>
      </c>
      <c r="K18" s="12" t="n">
        <f aca="false">Corpus!H18</f>
        <v>1.69</v>
      </c>
      <c r="L18" s="8" t="n">
        <f aca="false">I18*K18</f>
        <v>13.122528916653</v>
      </c>
    </row>
    <row r="19" customFormat="false" ht="15" hidden="false" customHeight="true" outlineLevel="0" collapsed="false">
      <c r="A19" s="3" t="s">
        <v>80</v>
      </c>
      <c r="B19" s="8" t="n">
        <f aca="false">Assumptions!$B$3*Assumptions!$B$4</f>
        <v>1.92333333333333</v>
      </c>
      <c r="C19" s="9" t="n">
        <f aca="false">Corpus!C19</f>
        <v>60.69</v>
      </c>
      <c r="D19" s="10" t="n">
        <f aca="false">Assumptions!$B$5/C19</f>
        <v>1.29016312407316</v>
      </c>
      <c r="E19" s="8" t="n">
        <f aca="false">B19*D19</f>
        <v>2.48141374196738</v>
      </c>
      <c r="F19" s="8" t="n">
        <f aca="false">Assumptions!$B$6</f>
        <v>1.05</v>
      </c>
      <c r="G19" s="8" t="n">
        <f aca="false">E19*F19</f>
        <v>2.60548442906574</v>
      </c>
      <c r="H19" s="8" t="n">
        <v>2.99</v>
      </c>
      <c r="I19" s="8" t="n">
        <f aca="false">G19*H19</f>
        <v>7.79039844290658</v>
      </c>
      <c r="J19" s="11" t="str">
        <f aca="false">Corpus!Q19</f>
        <v>High</v>
      </c>
      <c r="K19" s="12" t="n">
        <f aca="false">Corpus!H19</f>
        <v>2.39</v>
      </c>
      <c r="L19" s="8" t="n">
        <f aca="false">I19*K19</f>
        <v>18.6190522785467</v>
      </c>
    </row>
    <row r="20" customFormat="false" ht="15" hidden="false" customHeight="true" outlineLevel="0" collapsed="false">
      <c r="A20" s="3" t="s">
        <v>81</v>
      </c>
      <c r="B20" s="8" t="n">
        <f aca="false">Assumptions!$B$3*Assumptions!$B$4</f>
        <v>1.92333333333333</v>
      </c>
      <c r="C20" s="9" t="n">
        <f aca="false">Corpus!C20</f>
        <v>59.91</v>
      </c>
      <c r="D20" s="10" t="n">
        <f aca="false">Assumptions!$B$5/C20</f>
        <v>1.30696044066099</v>
      </c>
      <c r="E20" s="8" t="n">
        <f aca="false">B20*D20</f>
        <v>2.51372058087131</v>
      </c>
      <c r="F20" s="8" t="n">
        <f aca="false">Assumptions!$B$6</f>
        <v>1.05</v>
      </c>
      <c r="G20" s="8" t="n">
        <f aca="false">E20*F20</f>
        <v>2.63940660991487</v>
      </c>
      <c r="H20" s="8" t="n">
        <v>2.99</v>
      </c>
      <c r="I20" s="8" t="n">
        <f aca="false">G20*H20</f>
        <v>7.89182576364547</v>
      </c>
      <c r="J20" s="11" t="str">
        <f aca="false">Corpus!Q20</f>
        <v>xHigh</v>
      </c>
      <c r="K20" s="12" t="n">
        <f aca="false">Corpus!H20</f>
        <v>2.46</v>
      </c>
      <c r="L20" s="8" t="n">
        <f aca="false">I20*K20</f>
        <v>19.4138913785679</v>
      </c>
    </row>
    <row r="21" customFormat="false" ht="15.75" hidden="false" customHeight="true" outlineLevel="0" collapsed="false">
      <c r="A21" s="3" t="s">
        <v>82</v>
      </c>
      <c r="B21" s="8" t="n">
        <f aca="false">Assumptions!$B$3*Assumptions!$B$4</f>
        <v>1.92333333333333</v>
      </c>
      <c r="C21" s="9" t="n">
        <f aca="false">Corpus!C21</f>
        <v>129.9</v>
      </c>
      <c r="D21" s="10" t="n">
        <f aca="false">Assumptions!$B$5/C21</f>
        <v>0.602771362586605</v>
      </c>
      <c r="E21" s="8" t="n">
        <f aca="false">B21*D21</f>
        <v>1.15933025404157</v>
      </c>
      <c r="F21" s="8" t="n">
        <f aca="false">Assumptions!$B$6</f>
        <v>1.05</v>
      </c>
      <c r="G21" s="8" t="n">
        <f aca="false">E21*F21</f>
        <v>1.21729676674365</v>
      </c>
      <c r="H21" s="8" t="n">
        <v>2.99</v>
      </c>
      <c r="I21" s="8" t="n">
        <f aca="false">G21*H21</f>
        <v>3.63971733256351</v>
      </c>
      <c r="J21" s="11" t="str">
        <f aca="false">Corpus!Q21</f>
        <v>Minimal (measured)</v>
      </c>
      <c r="K21" s="12" t="n">
        <f aca="false">Corpus!H21</f>
        <v>1.6</v>
      </c>
      <c r="L21" s="8" t="n">
        <f aca="false">I21*K21</f>
        <v>5.82354773210162</v>
      </c>
    </row>
    <row r="22" customFormat="false" ht="15.75" hidden="false" customHeight="true" outlineLevel="0" collapsed="false">
      <c r="A22" s="3" t="s">
        <v>83</v>
      </c>
      <c r="B22" s="8" t="n">
        <f aca="false">Assumptions!$B$3*Assumptions!$B$4</f>
        <v>1.92333333333333</v>
      </c>
      <c r="C22" s="9" t="n">
        <f aca="false">Corpus!C22</f>
        <v>131.85</v>
      </c>
      <c r="D22" s="10" t="n">
        <f aca="false">Assumptions!$B$5/C22</f>
        <v>0.593856655290102</v>
      </c>
      <c r="E22" s="8" t="n">
        <f aca="false">B22*D22</f>
        <v>1.1421843003413</v>
      </c>
      <c r="F22" s="8" t="n">
        <f aca="false">Assumptions!$B$6</f>
        <v>1.05</v>
      </c>
      <c r="G22" s="8" t="n">
        <f aca="false">E22*F22</f>
        <v>1.19929351535836</v>
      </c>
      <c r="H22" s="8" t="n">
        <v>2.99</v>
      </c>
      <c r="I22" s="8" t="n">
        <f aca="false">G22*H22</f>
        <v>3.5858876109215</v>
      </c>
      <c r="J22" s="11" t="str">
        <f aca="false">Corpus!Q22</f>
        <v>Low</v>
      </c>
      <c r="K22" s="12" t="n">
        <f aca="false">Corpus!H22</f>
        <v>1.43</v>
      </c>
      <c r="L22" s="8" t="n">
        <f aca="false">I22*K22</f>
        <v>5.12781928361775</v>
      </c>
    </row>
    <row r="23" customFormat="false" ht="15.75" hidden="false" customHeight="true" outlineLevel="0" collapsed="false">
      <c r="A23" s="3" t="s">
        <v>84</v>
      </c>
      <c r="B23" s="8" t="n">
        <f aca="false">Assumptions!$B$3*Assumptions!$B$4</f>
        <v>1.92333333333333</v>
      </c>
      <c r="C23" s="9" t="n">
        <f aca="false">Corpus!C23</f>
        <v>134.91</v>
      </c>
      <c r="D23" s="10" t="n">
        <f aca="false">Assumptions!$B$5/C23</f>
        <v>0.580386924616411</v>
      </c>
      <c r="E23" s="8" t="n">
        <f aca="false">B23*D23</f>
        <v>1.11627751834556</v>
      </c>
      <c r="F23" s="8" t="n">
        <f aca="false">Assumptions!$B$6</f>
        <v>1.05</v>
      </c>
      <c r="G23" s="8" t="n">
        <f aca="false">E23*F23</f>
        <v>1.17209139426284</v>
      </c>
      <c r="H23" s="8" t="n">
        <v>2.99</v>
      </c>
      <c r="I23" s="8" t="n">
        <f aca="false">G23*H23</f>
        <v>3.5045532688459</v>
      </c>
      <c r="J23" s="11" t="str">
        <f aca="false">Corpus!Q23</f>
        <v>Medium</v>
      </c>
      <c r="K23" s="12" t="n">
        <f aca="false">Corpus!H23</f>
        <v>1.58</v>
      </c>
      <c r="L23" s="8" t="n">
        <f aca="false">I23*K23</f>
        <v>5.53719416477652</v>
      </c>
    </row>
    <row r="24" customFormat="false" ht="15.75" hidden="false" customHeight="true" outlineLevel="0" collapsed="false">
      <c r="A24" s="3" t="s">
        <v>85</v>
      </c>
      <c r="B24" s="8" t="n">
        <f aca="false">Assumptions!$B$3*Assumptions!$B$4</f>
        <v>1.92333333333333</v>
      </c>
      <c r="C24" s="9" t="n">
        <f aca="false">Corpus!C24</f>
        <v>133.12</v>
      </c>
      <c r="D24" s="10" t="n">
        <f aca="false">Assumptions!$B$5/C24</f>
        <v>0.588191105769231</v>
      </c>
      <c r="E24" s="8" t="n">
        <f aca="false">B24*D24</f>
        <v>1.13128756009615</v>
      </c>
      <c r="F24" s="8" t="n">
        <f aca="false">Assumptions!$B$6</f>
        <v>1.05</v>
      </c>
      <c r="G24" s="8" t="n">
        <f aca="false">E24*F24</f>
        <v>1.18785193810096</v>
      </c>
      <c r="H24" s="8" t="n">
        <v>2.99</v>
      </c>
      <c r="I24" s="8" t="n">
        <f aca="false">G24*H24</f>
        <v>3.55167729492188</v>
      </c>
      <c r="J24" s="11" t="str">
        <f aca="false">Corpus!Q24</f>
        <v>High</v>
      </c>
      <c r="K24" s="12" t="n">
        <f aca="false">Corpus!H24</f>
        <v>2.1</v>
      </c>
      <c r="L24" s="8" t="n">
        <f aca="false">I24*K24</f>
        <v>7.45852231933594</v>
      </c>
    </row>
    <row r="25" customFormat="false" ht="15.75" hidden="false" customHeight="true" outlineLevel="0" collapsed="false">
      <c r="A25" s="3" t="s">
        <v>86</v>
      </c>
      <c r="B25" s="8" t="n">
        <f aca="false">Assumptions!$B$3*Assumptions!$B$4</f>
        <v>1.92333333333333</v>
      </c>
      <c r="C25" s="9" t="n">
        <f aca="false">Corpus!C25</f>
        <v>130.2</v>
      </c>
      <c r="D25" s="10" t="n">
        <f aca="false">Assumptions!$B$5/C25</f>
        <v>0.601382488479263</v>
      </c>
      <c r="E25" s="8" t="n">
        <f aca="false">B25*D25</f>
        <v>1.15665898617512</v>
      </c>
      <c r="F25" s="8" t="n">
        <f aca="false">Assumptions!$B$6</f>
        <v>1.05</v>
      </c>
      <c r="G25" s="8" t="n">
        <f aca="false">E25*F25</f>
        <v>1.21449193548387</v>
      </c>
      <c r="H25" s="8" t="n">
        <v>2.99</v>
      </c>
      <c r="I25" s="8" t="n">
        <f aca="false">G25*H25</f>
        <v>3.63133088709677</v>
      </c>
      <c r="J25" s="11" t="str">
        <f aca="false">Corpus!Q25</f>
        <v>xHigh</v>
      </c>
      <c r="K25" s="12" t="n">
        <f aca="false">Corpus!H25</f>
        <v>2.58</v>
      </c>
      <c r="L25" s="8" t="n">
        <f aca="false">I25*K25</f>
        <v>9.36883368870968</v>
      </c>
    </row>
    <row r="26" customFormat="false" ht="15.75" hidden="false" customHeight="true" outlineLevel="0" collapsed="false">
      <c r="A26" s="3" t="s">
        <v>87</v>
      </c>
      <c r="B26" s="8" t="n">
        <f aca="false">Assumptions!$B$3*Assumptions!$B$4</f>
        <v>1.92333333333333</v>
      </c>
      <c r="C26" s="9" t="n">
        <f aca="false">Corpus!C26</f>
        <v>52.91</v>
      </c>
      <c r="D26" s="10" t="n">
        <f aca="false">Assumptions!$B$5/C26</f>
        <v>1.47987147987148</v>
      </c>
      <c r="E26" s="8" t="n">
        <f aca="false">B26*D26</f>
        <v>2.84628614628615</v>
      </c>
      <c r="F26" s="8" t="n">
        <f aca="false">Assumptions!$B$6</f>
        <v>1.05</v>
      </c>
      <c r="G26" s="8" t="n">
        <f aca="false">E26*F26</f>
        <v>2.98860045360045</v>
      </c>
      <c r="H26" s="8" t="n">
        <v>2.99</v>
      </c>
      <c r="I26" s="8" t="n">
        <f aca="false">G26*H26</f>
        <v>8.93591535626536</v>
      </c>
      <c r="J26" s="11" t="str">
        <f aca="false">Corpus!Q26</f>
        <v>Minimal (measured)</v>
      </c>
      <c r="K26" s="12" t="n">
        <f aca="false">Corpus!H26</f>
        <v>1.44</v>
      </c>
      <c r="L26" s="8" t="n">
        <f aca="false">I26*K26</f>
        <v>12.8677181130221</v>
      </c>
    </row>
    <row r="27" customFormat="false" ht="15.75" hidden="false" customHeight="true" outlineLevel="0" collapsed="false">
      <c r="A27" s="3" t="s">
        <v>88</v>
      </c>
      <c r="B27" s="8" t="n">
        <f aca="false">Assumptions!$B$3*Assumptions!$B$4</f>
        <v>1.92333333333333</v>
      </c>
      <c r="C27" s="9" t="n">
        <f aca="false">Corpus!C27</f>
        <v>53.57</v>
      </c>
      <c r="D27" s="10" t="n">
        <f aca="false">Assumptions!$B$5/C27</f>
        <v>1.46163897703939</v>
      </c>
      <c r="E27" s="8" t="n">
        <f aca="false">B27*D27</f>
        <v>2.81121896583909</v>
      </c>
      <c r="F27" s="8" t="n">
        <f aca="false">Assumptions!$B$6</f>
        <v>1.05</v>
      </c>
      <c r="G27" s="8" t="n">
        <f aca="false">E27*F27</f>
        <v>2.95177991413104</v>
      </c>
      <c r="H27" s="8" t="n">
        <v>2.99</v>
      </c>
      <c r="I27" s="8" t="n">
        <f aca="false">G27*H27</f>
        <v>8.82582194325182</v>
      </c>
      <c r="J27" s="11" t="str">
        <f aca="false">Corpus!Q27</f>
        <v>Low</v>
      </c>
      <c r="K27" s="12" t="n">
        <f aca="false">Corpus!H27</f>
        <v>1.36</v>
      </c>
      <c r="L27" s="8" t="n">
        <f aca="false">I27*K27</f>
        <v>12.0031178428225</v>
      </c>
    </row>
    <row r="28" customFormat="false" ht="15.75" hidden="false" customHeight="true" outlineLevel="0" collapsed="false">
      <c r="A28" s="3" t="s">
        <v>89</v>
      </c>
      <c r="B28" s="8" t="n">
        <f aca="false">Assumptions!$B$3*Assumptions!$B$4</f>
        <v>1.92333333333333</v>
      </c>
      <c r="C28" s="9" t="n">
        <f aca="false">Corpus!C28</f>
        <v>53.64</v>
      </c>
      <c r="D28" s="10" t="n">
        <f aca="false">Assumptions!$B$5/C28</f>
        <v>1.45973154362416</v>
      </c>
      <c r="E28" s="8" t="n">
        <f aca="false">B28*D28</f>
        <v>2.80755033557047</v>
      </c>
      <c r="F28" s="8" t="n">
        <f aca="false">Assumptions!$B$6</f>
        <v>1.05</v>
      </c>
      <c r="G28" s="8" t="n">
        <f aca="false">E28*F28</f>
        <v>2.94792785234899</v>
      </c>
      <c r="H28" s="8" t="n">
        <v>2.99</v>
      </c>
      <c r="I28" s="8" t="n">
        <f aca="false">G28*H28</f>
        <v>8.81430427852349</v>
      </c>
      <c r="J28" s="11" t="str">
        <f aca="false">Corpus!Q28</f>
        <v>Medium</v>
      </c>
      <c r="K28" s="12" t="n">
        <f aca="false">Corpus!H28</f>
        <v>1.47</v>
      </c>
      <c r="L28" s="8" t="n">
        <f aca="false">I28*K28</f>
        <v>12.9570272894295</v>
      </c>
    </row>
    <row r="29" customFormat="false" ht="15.75" hidden="false" customHeight="true" outlineLevel="0" collapsed="false">
      <c r="A29" s="3" t="s">
        <v>90</v>
      </c>
      <c r="B29" s="8" t="n">
        <f aca="false">Assumptions!$B$3*Assumptions!$B$4</f>
        <v>1.92333333333333</v>
      </c>
      <c r="C29" s="9" t="n">
        <f aca="false">Corpus!C29</f>
        <v>53.63</v>
      </c>
      <c r="D29" s="10" t="n">
        <f aca="false">Assumptions!$B$5/C29</f>
        <v>1.46000372925601</v>
      </c>
      <c r="E29" s="8" t="n">
        <f aca="false">B29*D29</f>
        <v>2.80807383926907</v>
      </c>
      <c r="F29" s="8" t="n">
        <f aca="false">Assumptions!$B$6</f>
        <v>1.05</v>
      </c>
      <c r="G29" s="8" t="n">
        <f aca="false">E29*F29</f>
        <v>2.94847753123252</v>
      </c>
      <c r="H29" s="8" t="n">
        <v>2.99</v>
      </c>
      <c r="I29" s="8" t="n">
        <f aca="false">G29*H29</f>
        <v>8.81594781838523</v>
      </c>
      <c r="J29" s="11" t="str">
        <f aca="false">Corpus!Q29</f>
        <v>High</v>
      </c>
      <c r="K29" s="12" t="n">
        <f aca="false">Corpus!H29</f>
        <v>1.64</v>
      </c>
      <c r="L29" s="8" t="n">
        <f aca="false">I29*K29</f>
        <v>14.4581544221518</v>
      </c>
    </row>
    <row r="30" customFormat="false" ht="15.75" hidden="false" customHeight="true" outlineLevel="0" collapsed="false">
      <c r="A30" s="3" t="s">
        <v>91</v>
      </c>
      <c r="B30" s="8" t="n">
        <f aca="false">Assumptions!$B$3*Assumptions!$B$4</f>
        <v>1.92333333333333</v>
      </c>
      <c r="C30" s="9" t="n">
        <f aca="false">Corpus!C30</f>
        <v>55.21</v>
      </c>
      <c r="D30" s="10" t="n">
        <f aca="false">Assumptions!$B$5/C30</f>
        <v>1.41822133671436</v>
      </c>
      <c r="E30" s="8" t="n">
        <f aca="false">B30*D30</f>
        <v>2.72771237094729</v>
      </c>
      <c r="F30" s="8" t="n">
        <f aca="false">Assumptions!$B$6</f>
        <v>1.05</v>
      </c>
      <c r="G30" s="8" t="n">
        <f aca="false">E30*F30</f>
        <v>2.86409798949466</v>
      </c>
      <c r="H30" s="8" t="n">
        <v>2.99</v>
      </c>
      <c r="I30" s="8" t="n">
        <f aca="false">G30*H30</f>
        <v>8.56365298858902</v>
      </c>
      <c r="J30" s="11" t="str">
        <f aca="false">Corpus!Q30</f>
        <v>xHigh</v>
      </c>
      <c r="K30" s="12" t="n">
        <f aca="false">Corpus!H30</f>
        <v>1.91</v>
      </c>
      <c r="L30" s="8" t="n">
        <f aca="false">I30*K30</f>
        <v>16.356577208205</v>
      </c>
    </row>
    <row r="31" customFormat="false" ht="15.75" hidden="false" customHeight="true" outlineLevel="0" collapsed="false">
      <c r="A31" s="3" t="s">
        <v>92</v>
      </c>
      <c r="B31" s="8" t="n">
        <f aca="false">Assumptions!$B$3*Assumptions!$B$4</f>
        <v>1.92333333333333</v>
      </c>
      <c r="C31" s="9" t="n">
        <f aca="false">Corpus!C31</f>
        <v>55.21</v>
      </c>
      <c r="D31" s="10" t="n">
        <f aca="false">Assumptions!$B$5/C31</f>
        <v>1.41822133671436</v>
      </c>
      <c r="E31" s="8" t="n">
        <f aca="false">B31*D31</f>
        <v>2.72771237094729</v>
      </c>
      <c r="F31" s="8" t="n">
        <f aca="false">Assumptions!$B$6</f>
        <v>1.05</v>
      </c>
      <c r="G31" s="8" t="n">
        <f aca="false">E31*F31</f>
        <v>2.86409798949466</v>
      </c>
      <c r="H31" s="8" t="n">
        <v>2.99</v>
      </c>
      <c r="I31" s="8" t="n">
        <f aca="false">G31*H31</f>
        <v>8.56365298858902</v>
      </c>
      <c r="J31" s="11" t="str">
        <f aca="false">Corpus!Q31</f>
        <v>Max (floor)</v>
      </c>
      <c r="K31" s="12" t="n">
        <f aca="false">Corpus!H31</f>
        <v>1.91</v>
      </c>
      <c r="L31" s="8" t="n">
        <f aca="false">I31*K31</f>
        <v>16.356577208205</v>
      </c>
    </row>
    <row r="32" customFormat="false" ht="15.75" hidden="false" customHeight="true" outlineLevel="0" collapsed="false">
      <c r="A32" s="3" t="s">
        <v>94</v>
      </c>
      <c r="B32" s="8" t="n">
        <f aca="false">Assumptions!$B$3*Assumptions!$B$4</f>
        <v>1.92333333333333</v>
      </c>
      <c r="C32" s="9" t="n">
        <f aca="false">Corpus!C32</f>
        <v>96.85</v>
      </c>
      <c r="D32" s="10" t="n">
        <f aca="false">Assumptions!$B$5/C32</f>
        <v>0.808466701084151</v>
      </c>
      <c r="E32" s="8" t="n">
        <f aca="false">B32*D32</f>
        <v>1.55495095508518</v>
      </c>
      <c r="F32" s="8" t="n">
        <f aca="false">Assumptions!$B$6</f>
        <v>1.05</v>
      </c>
      <c r="G32" s="8" t="n">
        <f aca="false">E32*F32</f>
        <v>1.63269850283944</v>
      </c>
      <c r="H32" s="8" t="n">
        <v>2.99</v>
      </c>
      <c r="I32" s="8" t="n">
        <f aca="false">G32*H32</f>
        <v>4.88176852348993</v>
      </c>
      <c r="J32" s="11" t="str">
        <f aca="false">Corpus!Q32</f>
        <v>Minimal (measured)</v>
      </c>
      <c r="K32" s="12" t="n">
        <f aca="false">Corpus!H32</f>
        <v>1.38</v>
      </c>
      <c r="L32" s="8" t="n">
        <f aca="false">I32*K32</f>
        <v>6.73684056241611</v>
      </c>
    </row>
    <row r="33" customFormat="false" ht="15.75" hidden="false" customHeight="true" outlineLevel="0" collapsed="false">
      <c r="A33" s="3" t="s">
        <v>95</v>
      </c>
      <c r="B33" s="8" t="n">
        <f aca="false">Assumptions!$B$3*Assumptions!$B$4</f>
        <v>1.92333333333333</v>
      </c>
      <c r="C33" s="9" t="n">
        <f aca="false">Corpus!C33</f>
        <v>93.61</v>
      </c>
      <c r="D33" s="10" t="n">
        <f aca="false">Assumptions!$B$5/C33</f>
        <v>0.836449097318663</v>
      </c>
      <c r="E33" s="8" t="n">
        <f aca="false">B33*D33</f>
        <v>1.60877043050956</v>
      </c>
      <c r="F33" s="8" t="n">
        <f aca="false">Assumptions!$B$6</f>
        <v>1.05</v>
      </c>
      <c r="G33" s="8" t="n">
        <f aca="false">E33*F33</f>
        <v>1.68920895203504</v>
      </c>
      <c r="H33" s="8" t="n">
        <v>2.99</v>
      </c>
      <c r="I33" s="8" t="n">
        <f aca="false">G33*H33</f>
        <v>5.05073476658477</v>
      </c>
      <c r="J33" s="11" t="str">
        <f aca="false">Corpus!Q33</f>
        <v>Low</v>
      </c>
      <c r="K33" s="12" t="n">
        <f aca="false">Corpus!H33</f>
        <v>1.36</v>
      </c>
      <c r="L33" s="8" t="n">
        <f aca="false">I33*K33</f>
        <v>6.86899928255528</v>
      </c>
    </row>
    <row r="34" customFormat="false" ht="15.75" hidden="false" customHeight="true" outlineLevel="0" collapsed="false">
      <c r="A34" s="3" t="s">
        <v>96</v>
      </c>
      <c r="B34" s="8" t="n">
        <f aca="false">Assumptions!$B$3*Assumptions!$B$4</f>
        <v>1.92333333333333</v>
      </c>
      <c r="C34" s="9" t="n">
        <f aca="false">Corpus!C34</f>
        <v>94.86</v>
      </c>
      <c r="D34" s="10" t="n">
        <f aca="false">Assumptions!$B$5/C34</f>
        <v>0.825426944971537</v>
      </c>
      <c r="E34" s="8" t="n">
        <f aca="false">B34*D34</f>
        <v>1.58757115749526</v>
      </c>
      <c r="F34" s="8" t="n">
        <f aca="false">Assumptions!$B$6</f>
        <v>1.05</v>
      </c>
      <c r="G34" s="8" t="n">
        <f aca="false">E34*F34</f>
        <v>1.66694971537002</v>
      </c>
      <c r="H34" s="8" t="n">
        <v>2.99</v>
      </c>
      <c r="I34" s="8" t="n">
        <f aca="false">G34*H34</f>
        <v>4.98417964895636</v>
      </c>
      <c r="J34" s="11" t="str">
        <f aca="false">Corpus!Q34</f>
        <v>Medium</v>
      </c>
      <c r="K34" s="12" t="n">
        <f aca="false">Corpus!H34</f>
        <v>1.37</v>
      </c>
      <c r="L34" s="8" t="n">
        <f aca="false">I34*K34</f>
        <v>6.82832611907021</v>
      </c>
    </row>
    <row r="35" customFormat="false" ht="15.75" hidden="false" customHeight="true" outlineLevel="0" collapsed="false">
      <c r="A35" s="3" t="s">
        <v>97</v>
      </c>
      <c r="B35" s="8" t="n">
        <f aca="false">Assumptions!$B$3*Assumptions!$B$4</f>
        <v>1.92333333333333</v>
      </c>
      <c r="C35" s="9" t="n">
        <f aca="false">Corpus!C35</f>
        <v>95.52</v>
      </c>
      <c r="D35" s="10" t="n">
        <f aca="false">Assumptions!$B$5/C35</f>
        <v>0.819723618090452</v>
      </c>
      <c r="E35" s="8" t="n">
        <f aca="false">B35*D35</f>
        <v>1.57660175879397</v>
      </c>
      <c r="F35" s="8" t="n">
        <f aca="false">Assumptions!$B$6</f>
        <v>1.05</v>
      </c>
      <c r="G35" s="8" t="n">
        <f aca="false">E35*F35</f>
        <v>1.65543184673367</v>
      </c>
      <c r="H35" s="8" t="n">
        <v>2.99</v>
      </c>
      <c r="I35" s="8" t="n">
        <f aca="false">G35*H35</f>
        <v>4.94974122173367</v>
      </c>
      <c r="J35" s="11" t="str">
        <f aca="false">Corpus!Q35</f>
        <v>High</v>
      </c>
      <c r="K35" s="12" t="n">
        <f aca="false">Corpus!H35</f>
        <v>1.45</v>
      </c>
      <c r="L35" s="8" t="n">
        <f aca="false">I35*K35</f>
        <v>7.17712477151382</v>
      </c>
    </row>
    <row r="36" customFormat="false" ht="15.75" hidden="false" customHeight="true" outlineLevel="0" collapsed="false">
      <c r="A36" s="3" t="s">
        <v>98</v>
      </c>
      <c r="B36" s="8" t="n">
        <f aca="false">Assumptions!$B$3*Assumptions!$B$4</f>
        <v>1.92333333333333</v>
      </c>
      <c r="C36" s="9" t="n">
        <f aca="false">Corpus!C36</f>
        <v>95.22</v>
      </c>
      <c r="D36" s="10" t="n">
        <f aca="false">Assumptions!$B$5/C36</f>
        <v>0.822306238185255</v>
      </c>
      <c r="E36" s="8" t="n">
        <f aca="false">B36*D36</f>
        <v>1.58156899810964</v>
      </c>
      <c r="F36" s="8" t="n">
        <f aca="false">Assumptions!$B$6</f>
        <v>1.05</v>
      </c>
      <c r="G36" s="8" t="n">
        <f aca="false">E36*F36</f>
        <v>1.66064744801512</v>
      </c>
      <c r="H36" s="8" t="n">
        <v>2.99</v>
      </c>
      <c r="I36" s="8" t="n">
        <f aca="false">G36*H36</f>
        <v>4.96533586956522</v>
      </c>
      <c r="J36" s="11" t="str">
        <f aca="false">Corpus!Q36</f>
        <v>xHigh</v>
      </c>
      <c r="K36" s="12" t="n">
        <f aca="false">Corpus!H36</f>
        <v>1.68</v>
      </c>
      <c r="L36" s="8" t="n">
        <f aca="false">I36*K36</f>
        <v>8.34176426086957</v>
      </c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customFormat="false" ht="15.75" hidden="false" customHeight="true" outlineLevel="0" collapsed="false">
      <c r="A38" s="3" t="s">
        <v>112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4" min="3" style="1" width="12"/>
    <col collapsed="false" customWidth="true" hidden="false" outlineLevel="0" max="6" min="5" style="1" width="26"/>
    <col collapsed="false" customWidth="true" hidden="false" outlineLevel="0" max="26" min="7" style="1" width="8.71"/>
  </cols>
  <sheetData>
    <row r="1" customFormat="false" ht="15" hidden="false" customHeight="true" outlineLevel="0" collapsed="false">
      <c r="A1" s="2" t="s">
        <v>113</v>
      </c>
      <c r="B1" s="3"/>
      <c r="C1" s="3"/>
      <c r="D1" s="3"/>
      <c r="E1" s="3"/>
      <c r="F1" s="3"/>
    </row>
    <row r="2" customFormat="false" ht="15" hidden="false" customHeight="true" outlineLevel="0" collapsed="false">
      <c r="A2" s="2" t="s">
        <v>100</v>
      </c>
      <c r="B2" s="2" t="s">
        <v>111</v>
      </c>
      <c r="C2" s="2" t="s">
        <v>114</v>
      </c>
      <c r="D2" s="2" t="s">
        <v>115</v>
      </c>
      <c r="E2" s="2" t="s">
        <v>116</v>
      </c>
      <c r="F2" s="2" t="s">
        <v>117</v>
      </c>
    </row>
    <row r="3" customFormat="false" ht="15" hidden="false" customHeight="true" outlineLevel="0" collapsed="false">
      <c r="A3" s="3" t="s">
        <v>52</v>
      </c>
      <c r="B3" s="12" t="n">
        <f aca="false">Table7!L3</f>
        <v>2.0195</v>
      </c>
      <c r="C3" s="13" t="n">
        <f aca="false">Assumptions!$B$9</f>
        <v>0.353</v>
      </c>
      <c r="D3" s="13" t="n">
        <f aca="false">Assumptions!$B$10</f>
        <v>0.0642</v>
      </c>
      <c r="E3" s="14" t="n">
        <f aca="false">B3*C3</f>
        <v>0.7128835</v>
      </c>
      <c r="F3" s="14" t="n">
        <f aca="false">B3*D3</f>
        <v>0.1296519</v>
      </c>
    </row>
    <row r="4" customFormat="false" ht="15" hidden="false" customHeight="true" outlineLevel="0" collapsed="false">
      <c r="A4" s="3" t="s">
        <v>55</v>
      </c>
      <c r="B4" s="12" t="n">
        <f aca="false">Table7!L4</f>
        <v>41.93524062</v>
      </c>
      <c r="C4" s="13" t="n">
        <f aca="false">Assumptions!$B$9</f>
        <v>0.353</v>
      </c>
      <c r="D4" s="13" t="n">
        <f aca="false">Assumptions!$B$10</f>
        <v>0.0642</v>
      </c>
      <c r="E4" s="14" t="n">
        <f aca="false">B4*C4</f>
        <v>14.80313993886</v>
      </c>
      <c r="F4" s="14" t="n">
        <f aca="false">B4*D4</f>
        <v>2.692242447804</v>
      </c>
    </row>
    <row r="5" customFormat="false" ht="15" hidden="false" customHeight="true" outlineLevel="0" collapsed="false">
      <c r="A5" s="3" t="s">
        <v>58</v>
      </c>
      <c r="B5" s="12" t="n">
        <f aca="false">Table7!L5</f>
        <v>28.6660841653193</v>
      </c>
      <c r="C5" s="13" t="n">
        <f aca="false">Assumptions!$B$9</f>
        <v>0.353</v>
      </c>
      <c r="D5" s="13" t="n">
        <f aca="false">Assumptions!$B$10</f>
        <v>0.0642</v>
      </c>
      <c r="E5" s="14" t="n">
        <f aca="false">B5*C5</f>
        <v>10.1191277103577</v>
      </c>
      <c r="F5" s="14" t="n">
        <f aca="false">B5*D5</f>
        <v>1.8403626034135</v>
      </c>
    </row>
    <row r="6" customFormat="false" ht="15" hidden="false" customHeight="true" outlineLevel="0" collapsed="false">
      <c r="A6" s="3" t="s">
        <v>60</v>
      </c>
      <c r="B6" s="12" t="n">
        <f aca="false">Table7!L6</f>
        <v>7.84078410447761</v>
      </c>
      <c r="C6" s="13" t="n">
        <f aca="false">Assumptions!$B$9</f>
        <v>0.353</v>
      </c>
      <c r="D6" s="13" t="n">
        <f aca="false">Assumptions!$B$10</f>
        <v>0.0642</v>
      </c>
      <c r="E6" s="14" t="n">
        <f aca="false">B6*C6</f>
        <v>2.7677967888806</v>
      </c>
      <c r="F6" s="14" t="n">
        <f aca="false">B6*D6</f>
        <v>0.503378339507463</v>
      </c>
    </row>
    <row r="7" customFormat="false" ht="15" hidden="false" customHeight="true" outlineLevel="0" collapsed="false">
      <c r="A7" s="3" t="s">
        <v>62</v>
      </c>
      <c r="B7" s="12" t="n">
        <f aca="false">Table7!L7</f>
        <v>25.6341755586799</v>
      </c>
      <c r="C7" s="13" t="n">
        <f aca="false">Assumptions!$B$9</f>
        <v>0.353</v>
      </c>
      <c r="D7" s="13" t="n">
        <f aca="false">Assumptions!$B$10</f>
        <v>0.0642</v>
      </c>
      <c r="E7" s="14" t="n">
        <f aca="false">B7*C7</f>
        <v>9.04886397221401</v>
      </c>
      <c r="F7" s="14" t="n">
        <f aca="false">B7*D7</f>
        <v>1.64571407086725</v>
      </c>
    </row>
    <row r="8" customFormat="false" ht="15" hidden="false" customHeight="true" outlineLevel="0" collapsed="false">
      <c r="A8" s="3" t="s">
        <v>63</v>
      </c>
      <c r="B8" s="12" t="n">
        <f aca="false">Table7!L8</f>
        <v>3.01953813705454</v>
      </c>
      <c r="C8" s="13" t="n">
        <f aca="false">Assumptions!$B$9</f>
        <v>0.353</v>
      </c>
      <c r="D8" s="13" t="n">
        <f aca="false">Assumptions!$B$10</f>
        <v>0.0642</v>
      </c>
      <c r="E8" s="14" t="n">
        <f aca="false">B8*C8</f>
        <v>1.06589696238025</v>
      </c>
      <c r="F8" s="14" t="n">
        <f aca="false">B8*D8</f>
        <v>0.193854348398901</v>
      </c>
    </row>
    <row r="9" customFormat="false" ht="15" hidden="false" customHeight="true" outlineLevel="0" collapsed="false">
      <c r="A9" s="3" t="s">
        <v>65</v>
      </c>
      <c r="B9" s="12" t="n">
        <f aca="false">Table7!L9</f>
        <v>5.54629926375</v>
      </c>
      <c r="C9" s="13" t="n">
        <f aca="false">Assumptions!$B$9</f>
        <v>0.353</v>
      </c>
      <c r="D9" s="13" t="n">
        <f aca="false">Assumptions!$B$10</f>
        <v>0.0642</v>
      </c>
      <c r="E9" s="14" t="n">
        <f aca="false">B9*C9</f>
        <v>1.95784364010375</v>
      </c>
      <c r="F9" s="14" t="n">
        <f aca="false">B9*D9</f>
        <v>0.35607241273275</v>
      </c>
    </row>
    <row r="10" customFormat="false" ht="15" hidden="false" customHeight="true" outlineLevel="0" collapsed="false">
      <c r="A10" s="3" t="s">
        <v>67</v>
      </c>
      <c r="B10" s="12" t="n">
        <f aca="false">Table7!L10</f>
        <v>11.3322364549459</v>
      </c>
      <c r="C10" s="13" t="n">
        <f aca="false">Assumptions!$B$9</f>
        <v>0.353</v>
      </c>
      <c r="D10" s="13" t="n">
        <f aca="false">Assumptions!$B$10</f>
        <v>0.0642</v>
      </c>
      <c r="E10" s="14" t="n">
        <f aca="false">B10*C10</f>
        <v>4.00027946859591</v>
      </c>
      <c r="F10" s="14" t="n">
        <f aca="false">B10*D10</f>
        <v>0.727529580407527</v>
      </c>
    </row>
    <row r="11" customFormat="false" ht="15" hidden="false" customHeight="true" outlineLevel="0" collapsed="false">
      <c r="A11" s="3" t="s">
        <v>68</v>
      </c>
      <c r="B11" s="12" t="n">
        <f aca="false">Table7!L11</f>
        <v>3.251490829379</v>
      </c>
      <c r="C11" s="13" t="n">
        <f aca="false">Assumptions!$B$9</f>
        <v>0.353</v>
      </c>
      <c r="D11" s="13" t="n">
        <f aca="false">Assumptions!$B$10</f>
        <v>0.0642</v>
      </c>
      <c r="E11" s="14" t="n">
        <f aca="false">B11*C11</f>
        <v>1.14777626277079</v>
      </c>
      <c r="F11" s="14" t="n">
        <f aca="false">B11*D11</f>
        <v>0.208745711246132</v>
      </c>
    </row>
    <row r="12" customFormat="false" ht="15" hidden="false" customHeight="true" outlineLevel="0" collapsed="false">
      <c r="A12" s="3" t="s">
        <v>70</v>
      </c>
      <c r="B12" s="12" t="n">
        <f aca="false">Table7!L12</f>
        <v>5.61455450547536</v>
      </c>
      <c r="C12" s="13" t="n">
        <f aca="false">Assumptions!$B$9</f>
        <v>0.353</v>
      </c>
      <c r="D12" s="13" t="n">
        <f aca="false">Assumptions!$B$10</f>
        <v>0.0642</v>
      </c>
      <c r="E12" s="14" t="n">
        <f aca="false">B12*C12</f>
        <v>1.9819377404328</v>
      </c>
      <c r="F12" s="14" t="n">
        <f aca="false">B12*D12</f>
        <v>0.360454399251518</v>
      </c>
    </row>
    <row r="13" customFormat="false" ht="15" hidden="false" customHeight="true" outlineLevel="0" collapsed="false">
      <c r="A13" s="3" t="s">
        <v>71</v>
      </c>
      <c r="B13" s="12" t="n">
        <f aca="false">Table7!L13</f>
        <v>42.1945304727329</v>
      </c>
      <c r="C13" s="13" t="n">
        <f aca="false">Assumptions!$B$9</f>
        <v>0.353</v>
      </c>
      <c r="D13" s="13" t="n">
        <f aca="false">Assumptions!$B$10</f>
        <v>0.0642</v>
      </c>
      <c r="E13" s="14" t="n">
        <f aca="false">B13*C13</f>
        <v>14.8946692568747</v>
      </c>
      <c r="F13" s="14" t="n">
        <f aca="false">B13*D13</f>
        <v>2.70888885634945</v>
      </c>
    </row>
    <row r="14" customFormat="false" ht="15" hidden="false" customHeight="true" outlineLevel="0" collapsed="false">
      <c r="A14" s="3" t="s">
        <v>72</v>
      </c>
      <c r="B14" s="12" t="n">
        <f aca="false">Table7!L14</f>
        <v>5.50150432278334</v>
      </c>
      <c r="C14" s="13" t="n">
        <f aca="false">Assumptions!$B$9</f>
        <v>0.353</v>
      </c>
      <c r="D14" s="13" t="n">
        <f aca="false">Assumptions!$B$10</f>
        <v>0.0642</v>
      </c>
      <c r="E14" s="14" t="n">
        <f aca="false">B14*C14</f>
        <v>1.94203102594252</v>
      </c>
      <c r="F14" s="14" t="n">
        <f aca="false">B14*D14</f>
        <v>0.35319657752269</v>
      </c>
    </row>
    <row r="15" customFormat="false" ht="15" hidden="false" customHeight="true" outlineLevel="0" collapsed="false">
      <c r="A15" s="3" t="s">
        <v>74</v>
      </c>
      <c r="B15" s="12" t="n">
        <f aca="false">Table7!L15</f>
        <v>19.327335067623</v>
      </c>
      <c r="C15" s="13" t="n">
        <f aca="false">Assumptions!$B$9</f>
        <v>0.353</v>
      </c>
      <c r="D15" s="13" t="n">
        <f aca="false">Assumptions!$B$10</f>
        <v>0.0642</v>
      </c>
      <c r="E15" s="14" t="n">
        <f aca="false">B15*C15</f>
        <v>6.8225492788709</v>
      </c>
      <c r="F15" s="14" t="n">
        <f aca="false">B15*D15</f>
        <v>1.24081491134139</v>
      </c>
    </row>
    <row r="16" customFormat="false" ht="15" hidden="false" customHeight="true" outlineLevel="0" collapsed="false">
      <c r="A16" s="3" t="s">
        <v>75</v>
      </c>
      <c r="B16" s="12" t="n">
        <f aca="false">Table7!L16</f>
        <v>13.5017830889279</v>
      </c>
      <c r="C16" s="13" t="n">
        <f aca="false">Assumptions!$B$9</f>
        <v>0.353</v>
      </c>
      <c r="D16" s="13" t="n">
        <f aca="false">Assumptions!$B$10</f>
        <v>0.0642</v>
      </c>
      <c r="E16" s="14" t="n">
        <f aca="false">B16*C16</f>
        <v>4.76612943039153</v>
      </c>
      <c r="F16" s="14" t="n">
        <f aca="false">B16*D16</f>
        <v>0.866814474309168</v>
      </c>
    </row>
    <row r="17" customFormat="false" ht="15" hidden="false" customHeight="true" outlineLevel="0" collapsed="false">
      <c r="A17" s="3" t="s">
        <v>77</v>
      </c>
      <c r="B17" s="12" t="n">
        <f aca="false">Table7!L17</f>
        <v>11.1690934860704</v>
      </c>
      <c r="C17" s="13" t="n">
        <f aca="false">Assumptions!$B$9</f>
        <v>0.353</v>
      </c>
      <c r="D17" s="13" t="n">
        <f aca="false">Assumptions!$B$10</f>
        <v>0.0642</v>
      </c>
      <c r="E17" s="14" t="n">
        <f aca="false">B17*C17</f>
        <v>3.94269000058284</v>
      </c>
      <c r="F17" s="14" t="n">
        <f aca="false">B17*D17</f>
        <v>0.717055801805718</v>
      </c>
    </row>
    <row r="18" customFormat="false" ht="15" hidden="false" customHeight="true" outlineLevel="0" collapsed="false">
      <c r="A18" s="3" t="s">
        <v>79</v>
      </c>
      <c r="B18" s="12" t="n">
        <f aca="false">Table7!L18</f>
        <v>13.122528916653</v>
      </c>
      <c r="C18" s="13" t="n">
        <f aca="false">Assumptions!$B$9</f>
        <v>0.353</v>
      </c>
      <c r="D18" s="13" t="n">
        <f aca="false">Assumptions!$B$10</f>
        <v>0.0642</v>
      </c>
      <c r="E18" s="14" t="n">
        <f aca="false">B18*C18</f>
        <v>4.6322527075785</v>
      </c>
      <c r="F18" s="14" t="n">
        <f aca="false">B18*D18</f>
        <v>0.842466356449121</v>
      </c>
    </row>
    <row r="19" customFormat="false" ht="15" hidden="false" customHeight="true" outlineLevel="0" collapsed="false">
      <c r="A19" s="3" t="s">
        <v>80</v>
      </c>
      <c r="B19" s="12" t="n">
        <f aca="false">Table7!L19</f>
        <v>18.6190522785467</v>
      </c>
      <c r="C19" s="13" t="n">
        <f aca="false">Assumptions!$B$9</f>
        <v>0.353</v>
      </c>
      <c r="D19" s="13" t="n">
        <f aca="false">Assumptions!$B$10</f>
        <v>0.0642</v>
      </c>
      <c r="E19" s="14" t="n">
        <f aca="false">B19*C19</f>
        <v>6.57252545432699</v>
      </c>
      <c r="F19" s="14" t="n">
        <f aca="false">B19*D19</f>
        <v>1.1953431562827</v>
      </c>
    </row>
    <row r="20" customFormat="false" ht="15" hidden="false" customHeight="true" outlineLevel="0" collapsed="false">
      <c r="A20" s="3" t="s">
        <v>81</v>
      </c>
      <c r="B20" s="12" t="n">
        <f aca="false">Table7!L20</f>
        <v>19.4138913785679</v>
      </c>
      <c r="C20" s="13" t="n">
        <f aca="false">Assumptions!$B$9</f>
        <v>0.353</v>
      </c>
      <c r="D20" s="13" t="n">
        <f aca="false">Assumptions!$B$10</f>
        <v>0.0642</v>
      </c>
      <c r="E20" s="14" t="n">
        <f aca="false">B20*C20</f>
        <v>6.85310365663445</v>
      </c>
      <c r="F20" s="14" t="n">
        <f aca="false">B20*D20</f>
        <v>1.24637182650406</v>
      </c>
    </row>
    <row r="21" customFormat="false" ht="15.75" hidden="false" customHeight="true" outlineLevel="0" collapsed="false">
      <c r="A21" s="3" t="s">
        <v>82</v>
      </c>
      <c r="B21" s="12" t="n">
        <f aca="false">Table7!L21</f>
        <v>5.82354773210162</v>
      </c>
      <c r="C21" s="13" t="n">
        <f aca="false">Assumptions!$B$9</f>
        <v>0.353</v>
      </c>
      <c r="D21" s="13" t="n">
        <f aca="false">Assumptions!$B$10</f>
        <v>0.0642</v>
      </c>
      <c r="E21" s="14" t="n">
        <f aca="false">B21*C21</f>
        <v>2.05571234943187</v>
      </c>
      <c r="F21" s="14" t="n">
        <f aca="false">B21*D21</f>
        <v>0.373871764400924</v>
      </c>
    </row>
    <row r="22" customFormat="false" ht="15.75" hidden="false" customHeight="true" outlineLevel="0" collapsed="false">
      <c r="A22" s="3" t="s">
        <v>83</v>
      </c>
      <c r="B22" s="12" t="n">
        <f aca="false">Table7!L22</f>
        <v>5.12781928361775</v>
      </c>
      <c r="C22" s="13" t="n">
        <f aca="false">Assumptions!$B$9</f>
        <v>0.353</v>
      </c>
      <c r="D22" s="13" t="n">
        <f aca="false">Assumptions!$B$10</f>
        <v>0.0642</v>
      </c>
      <c r="E22" s="14" t="n">
        <f aca="false">B22*C22</f>
        <v>1.81012020711706</v>
      </c>
      <c r="F22" s="14" t="n">
        <f aca="false">B22*D22</f>
        <v>0.329205998008259</v>
      </c>
    </row>
    <row r="23" customFormat="false" ht="15.75" hidden="false" customHeight="true" outlineLevel="0" collapsed="false">
      <c r="A23" s="3" t="s">
        <v>84</v>
      </c>
      <c r="B23" s="12" t="n">
        <f aca="false">Table7!L23</f>
        <v>5.53719416477652</v>
      </c>
      <c r="C23" s="13" t="n">
        <f aca="false">Assumptions!$B$9</f>
        <v>0.353</v>
      </c>
      <c r="D23" s="13" t="n">
        <f aca="false">Assumptions!$B$10</f>
        <v>0.0642</v>
      </c>
      <c r="E23" s="14" t="n">
        <f aca="false">B23*C23</f>
        <v>1.95462954016611</v>
      </c>
      <c r="F23" s="14" t="n">
        <f aca="false">B23*D23</f>
        <v>0.355487865378652</v>
      </c>
    </row>
    <row r="24" customFormat="false" ht="15.75" hidden="false" customHeight="true" outlineLevel="0" collapsed="false">
      <c r="A24" s="3" t="s">
        <v>85</v>
      </c>
      <c r="B24" s="12" t="n">
        <f aca="false">Table7!L24</f>
        <v>7.45852231933594</v>
      </c>
      <c r="C24" s="13" t="n">
        <f aca="false">Assumptions!$B$9</f>
        <v>0.353</v>
      </c>
      <c r="D24" s="13" t="n">
        <f aca="false">Assumptions!$B$10</f>
        <v>0.0642</v>
      </c>
      <c r="E24" s="14" t="n">
        <f aca="false">B24*C24</f>
        <v>2.63285837872559</v>
      </c>
      <c r="F24" s="14" t="n">
        <f aca="false">B24*D24</f>
        <v>0.478837132901367</v>
      </c>
    </row>
    <row r="25" customFormat="false" ht="15.75" hidden="false" customHeight="true" outlineLevel="0" collapsed="false">
      <c r="A25" s="3" t="s">
        <v>86</v>
      </c>
      <c r="B25" s="12" t="n">
        <f aca="false">Table7!L25</f>
        <v>9.36883368870968</v>
      </c>
      <c r="C25" s="13" t="n">
        <f aca="false">Assumptions!$B$9</f>
        <v>0.353</v>
      </c>
      <c r="D25" s="13" t="n">
        <f aca="false">Assumptions!$B$10</f>
        <v>0.0642</v>
      </c>
      <c r="E25" s="14" t="n">
        <f aca="false">B25*C25</f>
        <v>3.30719829211452</v>
      </c>
      <c r="F25" s="14" t="n">
        <f aca="false">B25*D25</f>
        <v>0.601479122815161</v>
      </c>
    </row>
    <row r="26" customFormat="false" ht="15.75" hidden="false" customHeight="true" outlineLevel="0" collapsed="false">
      <c r="A26" s="3" t="s">
        <v>87</v>
      </c>
      <c r="B26" s="12" t="n">
        <f aca="false">Table7!L26</f>
        <v>12.8677181130221</v>
      </c>
      <c r="C26" s="13" t="n">
        <f aca="false">Assumptions!$B$9</f>
        <v>0.353</v>
      </c>
      <c r="D26" s="13" t="n">
        <f aca="false">Assumptions!$B$10</f>
        <v>0.0642</v>
      </c>
      <c r="E26" s="14" t="n">
        <f aca="false">B26*C26</f>
        <v>4.54230449389681</v>
      </c>
      <c r="F26" s="14" t="n">
        <f aca="false">B26*D26</f>
        <v>0.82610750285602</v>
      </c>
    </row>
    <row r="27" customFormat="false" ht="15.75" hidden="false" customHeight="true" outlineLevel="0" collapsed="false">
      <c r="A27" s="3" t="s">
        <v>88</v>
      </c>
      <c r="B27" s="12" t="n">
        <f aca="false">Table7!L27</f>
        <v>12.0031178428225</v>
      </c>
      <c r="C27" s="13" t="n">
        <f aca="false">Assumptions!$B$9</f>
        <v>0.353</v>
      </c>
      <c r="D27" s="13" t="n">
        <f aca="false">Assumptions!$B$10</f>
        <v>0.0642</v>
      </c>
      <c r="E27" s="14" t="n">
        <f aca="false">B27*C27</f>
        <v>4.23710059851633</v>
      </c>
      <c r="F27" s="14" t="n">
        <f aca="false">B27*D27</f>
        <v>0.770600165509203</v>
      </c>
    </row>
    <row r="28" customFormat="false" ht="15.75" hidden="false" customHeight="true" outlineLevel="0" collapsed="false">
      <c r="A28" s="3" t="s">
        <v>89</v>
      </c>
      <c r="B28" s="12" t="n">
        <f aca="false">Table7!L28</f>
        <v>12.9570272894295</v>
      </c>
      <c r="C28" s="13" t="n">
        <f aca="false">Assumptions!$B$9</f>
        <v>0.353</v>
      </c>
      <c r="D28" s="13" t="n">
        <f aca="false">Assumptions!$B$10</f>
        <v>0.0642</v>
      </c>
      <c r="E28" s="14" t="n">
        <f aca="false">B28*C28</f>
        <v>4.57383063316862</v>
      </c>
      <c r="F28" s="14" t="n">
        <f aca="false">B28*D28</f>
        <v>0.831841151981376</v>
      </c>
    </row>
    <row r="29" customFormat="false" ht="15.75" hidden="false" customHeight="true" outlineLevel="0" collapsed="false">
      <c r="A29" s="3" t="s">
        <v>90</v>
      </c>
      <c r="B29" s="12" t="n">
        <f aca="false">Table7!L29</f>
        <v>14.4581544221518</v>
      </c>
      <c r="C29" s="13" t="n">
        <f aca="false">Assumptions!$B$9</f>
        <v>0.353</v>
      </c>
      <c r="D29" s="13" t="n">
        <f aca="false">Assumptions!$B$10</f>
        <v>0.0642</v>
      </c>
      <c r="E29" s="14" t="n">
        <f aca="false">B29*C29</f>
        <v>5.10372851101958</v>
      </c>
      <c r="F29" s="14" t="n">
        <f aca="false">B29*D29</f>
        <v>0.928213513902144</v>
      </c>
    </row>
    <row r="30" customFormat="false" ht="15.75" hidden="false" customHeight="true" outlineLevel="0" collapsed="false">
      <c r="A30" s="3" t="s">
        <v>91</v>
      </c>
      <c r="B30" s="12" t="n">
        <f aca="false">Table7!L30</f>
        <v>16.356577208205</v>
      </c>
      <c r="C30" s="13" t="n">
        <f aca="false">Assumptions!$B$9</f>
        <v>0.353</v>
      </c>
      <c r="D30" s="13" t="n">
        <f aca="false">Assumptions!$B$10</f>
        <v>0.0642</v>
      </c>
      <c r="E30" s="14" t="n">
        <f aca="false">B30*C30</f>
        <v>5.77387175449638</v>
      </c>
      <c r="F30" s="14" t="n">
        <f aca="false">B30*D30</f>
        <v>1.05009225676676</v>
      </c>
    </row>
    <row r="31" customFormat="false" ht="15.75" hidden="false" customHeight="true" outlineLevel="0" collapsed="false">
      <c r="A31" s="3" t="s">
        <v>92</v>
      </c>
      <c r="B31" s="12" t="n">
        <f aca="false">Table7!L31</f>
        <v>16.356577208205</v>
      </c>
      <c r="C31" s="13" t="n">
        <f aca="false">Assumptions!$B$9</f>
        <v>0.353</v>
      </c>
      <c r="D31" s="13" t="n">
        <f aca="false">Assumptions!$B$10</f>
        <v>0.0642</v>
      </c>
      <c r="E31" s="14" t="n">
        <f aca="false">B31*C31</f>
        <v>5.77387175449638</v>
      </c>
      <c r="F31" s="14" t="n">
        <f aca="false">B31*D31</f>
        <v>1.05009225676676</v>
      </c>
    </row>
    <row r="32" customFormat="false" ht="15.75" hidden="false" customHeight="true" outlineLevel="0" collapsed="false">
      <c r="A32" s="3" t="s">
        <v>94</v>
      </c>
      <c r="B32" s="12" t="n">
        <f aca="false">Table7!L32</f>
        <v>6.73684056241611</v>
      </c>
      <c r="C32" s="13" t="n">
        <f aca="false">Assumptions!$B$9</f>
        <v>0.353</v>
      </c>
      <c r="D32" s="13" t="n">
        <f aca="false">Assumptions!$B$10</f>
        <v>0.0642</v>
      </c>
      <c r="E32" s="14" t="n">
        <f aca="false">B32*C32</f>
        <v>2.37810471853289</v>
      </c>
      <c r="F32" s="14" t="n">
        <f aca="false">B32*D32</f>
        <v>0.432505164107114</v>
      </c>
    </row>
    <row r="33" customFormat="false" ht="15.75" hidden="false" customHeight="true" outlineLevel="0" collapsed="false">
      <c r="A33" s="3" t="s">
        <v>95</v>
      </c>
      <c r="B33" s="12" t="n">
        <f aca="false">Table7!L33</f>
        <v>6.86899928255528</v>
      </c>
      <c r="C33" s="13" t="n">
        <f aca="false">Assumptions!$B$9</f>
        <v>0.353</v>
      </c>
      <c r="D33" s="13" t="n">
        <f aca="false">Assumptions!$B$10</f>
        <v>0.0642</v>
      </c>
      <c r="E33" s="14" t="n">
        <f aca="false">B33*C33</f>
        <v>2.42475674674202</v>
      </c>
      <c r="F33" s="14" t="n">
        <f aca="false">B33*D33</f>
        <v>0.440989753940049</v>
      </c>
    </row>
    <row r="34" customFormat="false" ht="15.75" hidden="false" customHeight="true" outlineLevel="0" collapsed="false">
      <c r="A34" s="3" t="s">
        <v>96</v>
      </c>
      <c r="B34" s="12" t="n">
        <f aca="false">Table7!L34</f>
        <v>6.82832611907021</v>
      </c>
      <c r="C34" s="13" t="n">
        <f aca="false">Assumptions!$B$9</f>
        <v>0.353</v>
      </c>
      <c r="D34" s="13" t="n">
        <f aca="false">Assumptions!$B$10</f>
        <v>0.0642</v>
      </c>
      <c r="E34" s="14" t="n">
        <f aca="false">B34*C34</f>
        <v>2.41039912003178</v>
      </c>
      <c r="F34" s="14" t="n">
        <f aca="false">B34*D34</f>
        <v>0.438378536844307</v>
      </c>
    </row>
    <row r="35" customFormat="false" ht="15.75" hidden="false" customHeight="true" outlineLevel="0" collapsed="false">
      <c r="A35" s="3" t="s">
        <v>97</v>
      </c>
      <c r="B35" s="12" t="n">
        <f aca="false">Table7!L35</f>
        <v>7.17712477151382</v>
      </c>
      <c r="C35" s="13" t="n">
        <f aca="false">Assumptions!$B$9</f>
        <v>0.353</v>
      </c>
      <c r="D35" s="13" t="n">
        <f aca="false">Assumptions!$B$10</f>
        <v>0.0642</v>
      </c>
      <c r="E35" s="14" t="n">
        <f aca="false">B35*C35</f>
        <v>2.53352504434438</v>
      </c>
      <c r="F35" s="14" t="n">
        <f aca="false">B35*D35</f>
        <v>0.460771410331187</v>
      </c>
    </row>
    <row r="36" customFormat="false" ht="15.75" hidden="false" customHeight="true" outlineLevel="0" collapsed="false">
      <c r="A36" s="3" t="s">
        <v>98</v>
      </c>
      <c r="B36" s="12" t="n">
        <f aca="false">Table7!L36</f>
        <v>8.34176426086957</v>
      </c>
      <c r="C36" s="13" t="n">
        <f aca="false">Assumptions!$B$9</f>
        <v>0.353</v>
      </c>
      <c r="D36" s="13" t="n">
        <f aca="false">Assumptions!$B$10</f>
        <v>0.0642</v>
      </c>
      <c r="E36" s="14" t="n">
        <f aca="false">B36*C36</f>
        <v>2.94464278408696</v>
      </c>
      <c r="F36" s="14" t="n">
        <f aca="false">B36*D36</f>
        <v>0.535541265547826</v>
      </c>
    </row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9"/>
    <col collapsed="false" customWidth="true" hidden="false" outlineLevel="0" max="5" min="5" style="1" width="18"/>
    <col collapsed="false" customWidth="true" hidden="false" outlineLevel="0" max="7" min="6" style="1" width="10"/>
    <col collapsed="false" customWidth="true" hidden="false" outlineLevel="0" max="8" min="8" style="1" width="8"/>
    <col collapsed="false" customWidth="true" hidden="false" outlineLevel="0" max="9" min="9" style="1" width="12"/>
    <col collapsed="false" customWidth="true" hidden="false" outlineLevel="0" max="10" min="10" style="1" width="10"/>
    <col collapsed="false" customWidth="true" hidden="false" outlineLevel="0" max="12" min="11" style="1" width="20"/>
    <col collapsed="false" customWidth="true" hidden="false" outlineLevel="0" max="26" min="13" style="1" width="8.71"/>
  </cols>
  <sheetData>
    <row r="1" customFormat="false" ht="15" hidden="false" customHeight="true" outlineLevel="0" collapsed="false">
      <c r="A1" s="2" t="s">
        <v>118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15" hidden="false" customHeight="true" outlineLevel="0" collapsed="false">
      <c r="A2" s="2" t="s">
        <v>100</v>
      </c>
      <c r="B2" s="2" t="s">
        <v>119</v>
      </c>
      <c r="C2" s="2" t="s">
        <v>120</v>
      </c>
      <c r="D2" s="2" t="s">
        <v>121</v>
      </c>
      <c r="E2" s="2" t="s">
        <v>109</v>
      </c>
      <c r="F2" s="2" t="s">
        <v>122</v>
      </c>
      <c r="G2" s="2" t="s">
        <v>123</v>
      </c>
      <c r="H2" s="2" t="s">
        <v>124</v>
      </c>
      <c r="I2" s="2" t="s">
        <v>125</v>
      </c>
      <c r="J2" s="2" t="s">
        <v>126</v>
      </c>
      <c r="K2" s="2" t="s">
        <v>127</v>
      </c>
      <c r="L2" s="2" t="s">
        <v>128</v>
      </c>
    </row>
    <row r="3" customFormat="false" ht="15" hidden="false" customHeight="true" outlineLevel="0" collapsed="false">
      <c r="A3" s="3" t="s">
        <v>52</v>
      </c>
      <c r="B3" s="15" t="n">
        <f aca="false">Table7!L3</f>
        <v>2.0195</v>
      </c>
      <c r="C3" s="16" t="n">
        <f aca="false">Corpus!E3</f>
        <v>80.1</v>
      </c>
      <c r="D3" s="16" t="n">
        <f aca="false">Corpus!F3</f>
        <v>23.9</v>
      </c>
      <c r="E3" s="17" t="str">
        <f aca="false">Corpus!Q3</f>
        <v>None</v>
      </c>
      <c r="F3" s="14" t="n">
        <f aca="false">IF(Corpus!R3="5x",Assumptions!$B$17,Assumptions!$B$19)</f>
        <v>0.67</v>
      </c>
      <c r="G3" s="14" t="n">
        <f aca="false">C3/(C3+D3)</f>
        <v>0.770192307692308</v>
      </c>
      <c r="H3" s="14" t="n">
        <f aca="false">IF(Corpus!Q3="None",1,Corpus!N3/Corpus!H3)</f>
        <v>1</v>
      </c>
      <c r="I3" s="14" t="n">
        <f aca="false">F3*G3*H3</f>
        <v>0.516028846153846</v>
      </c>
      <c r="J3" s="14" t="n">
        <f aca="false">B3*I3</f>
        <v>1.04212025480769</v>
      </c>
      <c r="K3" s="14" t="n">
        <f aca="false">J3*Assumptions!$B$9</f>
        <v>0.367868449947115</v>
      </c>
      <c r="L3" s="14" t="n">
        <f aca="false">J3*Assumptions!$B$10</f>
        <v>0.0669041203586539</v>
      </c>
    </row>
    <row r="4" customFormat="false" ht="15" hidden="false" customHeight="true" outlineLevel="0" collapsed="false">
      <c r="A4" s="3" t="s">
        <v>55</v>
      </c>
      <c r="B4" s="15" t="n">
        <f aca="false">Table7!L4</f>
        <v>41.93524062</v>
      </c>
      <c r="C4" s="16" t="n">
        <f aca="false">Corpus!E4</f>
        <v>68.1</v>
      </c>
      <c r="D4" s="16" t="n">
        <f aca="false">Corpus!F4</f>
        <v>15.7</v>
      </c>
      <c r="E4" s="17" t="str">
        <f aca="false">Corpus!Q4</f>
        <v>High</v>
      </c>
      <c r="F4" s="14" t="n">
        <f aca="false">IF(Corpus!R4="5x",Assumptions!$B$17,Assumptions!$B$19)</f>
        <v>0.36</v>
      </c>
      <c r="G4" s="14" t="n">
        <f aca="false">C4/(C4+D4)</f>
        <v>0.812649164677804</v>
      </c>
      <c r="H4" s="14" t="n">
        <f aca="false">IF(Corpus!Q4="None",1,Corpus!N4/Corpus!H4)</f>
        <v>0.529411764705882</v>
      </c>
      <c r="I4" s="14" t="n">
        <f aca="false">F4*G4*H4</f>
        <v>0.154881370209182</v>
      </c>
      <c r="J4" s="14" t="n">
        <f aca="false">B4*I4</f>
        <v>6.49498752727733</v>
      </c>
      <c r="K4" s="14" t="n">
        <f aca="false">J4*Assumptions!$B$9</f>
        <v>2.2927305971289</v>
      </c>
      <c r="L4" s="14" t="n">
        <f aca="false">J4*Assumptions!$B$10</f>
        <v>0.416978199251204</v>
      </c>
    </row>
    <row r="5" customFormat="false" ht="15" hidden="false" customHeight="true" outlineLevel="0" collapsed="false">
      <c r="A5" s="3" t="s">
        <v>58</v>
      </c>
      <c r="B5" s="15" t="n">
        <f aca="false">Table7!L5</f>
        <v>28.6660841653193</v>
      </c>
      <c r="C5" s="16" t="n">
        <f aca="false">Corpus!E5</f>
        <v>63.8</v>
      </c>
      <c r="D5" s="16" t="n">
        <f aca="false">Corpus!F5</f>
        <v>16.7</v>
      </c>
      <c r="E5" s="17" t="str">
        <f aca="false">Corpus!Q5</f>
        <v>xHigh</v>
      </c>
      <c r="F5" s="14" t="n">
        <f aca="false">IF(Corpus!R5="5x",Assumptions!$B$17,Assumptions!$B$19)</f>
        <v>0.36</v>
      </c>
      <c r="G5" s="14" t="n">
        <f aca="false">C5/(C5+D5)</f>
        <v>0.792546583850932</v>
      </c>
      <c r="H5" s="14" t="n">
        <f aca="false">IF(Corpus!Q5="None",1,Corpus!N5/Corpus!H5)</f>
        <v>0.445333333333333</v>
      </c>
      <c r="I5" s="14" t="n">
        <f aca="false">F5*G5*H5</f>
        <v>0.127061068322981</v>
      </c>
      <c r="J5" s="14" t="n">
        <f aca="false">B5*I5</f>
        <v>3.64234327868197</v>
      </c>
      <c r="K5" s="14" t="n">
        <f aca="false">J5*Assumptions!$B$9</f>
        <v>1.28574717737474</v>
      </c>
      <c r="L5" s="14" t="n">
        <f aca="false">J5*Assumptions!$B$10</f>
        <v>0.233838438491383</v>
      </c>
    </row>
    <row r="6" customFormat="false" ht="15" hidden="false" customHeight="true" outlineLevel="0" collapsed="false">
      <c r="A6" s="3" t="s">
        <v>60</v>
      </c>
      <c r="B6" s="15" t="n">
        <f aca="false">Table7!L6</f>
        <v>7.84078410447761</v>
      </c>
      <c r="C6" s="16" t="n">
        <f aca="false">Corpus!E6</f>
        <v>59.6</v>
      </c>
      <c r="D6" s="16" t="n">
        <f aca="false">Corpus!F6</f>
        <v>6.4</v>
      </c>
      <c r="E6" s="17" t="str">
        <f aca="false">Corpus!Q6</f>
        <v>None</v>
      </c>
      <c r="F6" s="14" t="n">
        <f aca="false">IF(Corpus!R6="5x",Assumptions!$B$17,Assumptions!$B$19)</f>
        <v>0.36</v>
      </c>
      <c r="G6" s="14" t="n">
        <f aca="false">C6/(C6+D6)</f>
        <v>0.903030303030303</v>
      </c>
      <c r="H6" s="14" t="n">
        <f aca="false">IF(Corpus!Q6="None",1,Corpus!N6/Corpus!H6)</f>
        <v>1</v>
      </c>
      <c r="I6" s="14" t="n">
        <f aca="false">F6*G6*H6</f>
        <v>0.325090909090909</v>
      </c>
      <c r="J6" s="14" t="n">
        <f aca="false">B6*I6</f>
        <v>2.54896763251018</v>
      </c>
      <c r="K6" s="14" t="n">
        <f aca="false">J6*Assumptions!$B$9</f>
        <v>0.899785574276092</v>
      </c>
      <c r="L6" s="14" t="n">
        <f aca="false">J6*Assumptions!$B$10</f>
        <v>0.163643722007153</v>
      </c>
    </row>
    <row r="7" customFormat="false" ht="15" hidden="false" customHeight="true" outlineLevel="0" collapsed="false">
      <c r="A7" s="3" t="s">
        <v>62</v>
      </c>
      <c r="B7" s="15" t="n">
        <f aca="false">Table7!L7</f>
        <v>25.6341755586799</v>
      </c>
      <c r="C7" s="16" t="n">
        <f aca="false">Corpus!E7</f>
        <v>59.1</v>
      </c>
      <c r="D7" s="16" t="n">
        <f aca="false">Corpus!F7</f>
        <v>6.9</v>
      </c>
      <c r="E7" s="17" t="str">
        <f aca="false">Corpus!Q7</f>
        <v>xHigh</v>
      </c>
      <c r="F7" s="14" t="n">
        <f aca="false">IF(Corpus!R7="5x",Assumptions!$B$17,Assumptions!$B$19)</f>
        <v>0.36</v>
      </c>
      <c r="G7" s="14" t="n">
        <f aca="false">C7/(C7+D7)</f>
        <v>0.895454545454546</v>
      </c>
      <c r="H7" s="14" t="n">
        <f aca="false">IF(Corpus!Q7="None",1,Corpus!N7/Corpus!H7)</f>
        <v>0.459627329192547</v>
      </c>
      <c r="I7" s="14" t="n">
        <f aca="false">F7*G7*H7</f>
        <v>0.148167137210615</v>
      </c>
      <c r="J7" s="14" t="n">
        <f aca="false">B7*I7</f>
        <v>3.79814240728393</v>
      </c>
      <c r="K7" s="14" t="n">
        <f aca="false">J7*Assumptions!$B$9</f>
        <v>1.34074426977123</v>
      </c>
      <c r="L7" s="14" t="n">
        <f aca="false">J7*Assumptions!$B$10</f>
        <v>0.243840742547628</v>
      </c>
    </row>
    <row r="8" customFormat="false" ht="15" hidden="false" customHeight="true" outlineLevel="0" collapsed="false">
      <c r="A8" s="3" t="s">
        <v>63</v>
      </c>
      <c r="B8" s="15" t="n">
        <f aca="false">Table7!L8</f>
        <v>3.01953813705454</v>
      </c>
      <c r="C8" s="16" t="n">
        <f aca="false">Corpus!E8</f>
        <v>156.6</v>
      </c>
      <c r="D8" s="16" t="n">
        <f aca="false">Corpus!F8</f>
        <v>18.7</v>
      </c>
      <c r="E8" s="17" t="str">
        <f aca="false">Corpus!Q8</f>
        <v>None</v>
      </c>
      <c r="F8" s="14" t="n">
        <f aca="false">IF(Corpus!R8="5x",Assumptions!$B$17,Assumptions!$B$19)</f>
        <v>0.36</v>
      </c>
      <c r="G8" s="14" t="n">
        <f aca="false">C8/(C8+D8)</f>
        <v>0.893325727324587</v>
      </c>
      <c r="H8" s="14" t="n">
        <f aca="false">IF(Corpus!Q8="None",1,Corpus!N8/Corpus!H8)</f>
        <v>1</v>
      </c>
      <c r="I8" s="14" t="n">
        <f aca="false">F8*G8*H8</f>
        <v>0.321597261836851</v>
      </c>
      <c r="J8" s="14" t="n">
        <f aca="false">B8*I8</f>
        <v>0.971075196888687</v>
      </c>
      <c r="K8" s="14" t="n">
        <f aca="false">J8*Assumptions!$B$9</f>
        <v>0.342789544501706</v>
      </c>
      <c r="L8" s="14" t="n">
        <f aca="false">J8*Assumptions!$B$10</f>
        <v>0.0623430276402537</v>
      </c>
    </row>
    <row r="9" customFormat="false" ht="15" hidden="false" customHeight="true" outlineLevel="0" collapsed="false">
      <c r="A9" s="3" t="s">
        <v>65</v>
      </c>
      <c r="B9" s="15" t="n">
        <f aca="false">Table7!L9</f>
        <v>5.54629926375</v>
      </c>
      <c r="C9" s="16" t="n">
        <f aca="false">Corpus!E9</f>
        <v>152.3</v>
      </c>
      <c r="D9" s="16" t="n">
        <f aca="false">Corpus!F9</f>
        <v>22.1</v>
      </c>
      <c r="E9" s="17" t="str">
        <f aca="false">Corpus!Q9</f>
        <v>Medium</v>
      </c>
      <c r="F9" s="14" t="n">
        <f aca="false">IF(Corpus!R9="5x",Assumptions!$B$17,Assumptions!$B$19)</f>
        <v>0.36</v>
      </c>
      <c r="G9" s="14" t="n">
        <f aca="false">C9/(C9+D9)</f>
        <v>0.873279816513762</v>
      </c>
      <c r="H9" s="14" t="n">
        <f aca="false">IF(Corpus!Q9="None",1,Corpus!N9/Corpus!H9)</f>
        <v>0.584699453551913</v>
      </c>
      <c r="I9" s="14" t="n">
        <f aca="false">F9*G9*H9</f>
        <v>0.183818243344864</v>
      </c>
      <c r="J9" s="14" t="n">
        <f aca="false">B9*I9</f>
        <v>1.01951098772744</v>
      </c>
      <c r="K9" s="14" t="n">
        <f aca="false">J9*Assumptions!$B$9</f>
        <v>0.359887378667785</v>
      </c>
      <c r="L9" s="14" t="n">
        <f aca="false">J9*Assumptions!$B$10</f>
        <v>0.0654526054121015</v>
      </c>
    </row>
    <row r="10" customFormat="false" ht="15" hidden="false" customHeight="true" outlineLevel="0" collapsed="false">
      <c r="A10" s="3" t="s">
        <v>67</v>
      </c>
      <c r="B10" s="15" t="n">
        <f aca="false">Table7!L10</f>
        <v>11.3322364549459</v>
      </c>
      <c r="C10" s="16" t="n">
        <f aca="false">Corpus!E10</f>
        <v>153.7</v>
      </c>
      <c r="D10" s="16" t="n">
        <f aca="false">Corpus!F10</f>
        <v>19.8</v>
      </c>
      <c r="E10" s="17" t="str">
        <f aca="false">Corpus!Q10</f>
        <v>xHigh</v>
      </c>
      <c r="F10" s="14" t="n">
        <f aca="false">IF(Corpus!R10="5x",Assumptions!$B$17,Assumptions!$B$19)</f>
        <v>0.36</v>
      </c>
      <c r="G10" s="14" t="n">
        <f aca="false">C10/(C10+D10)</f>
        <v>0.885878962536023</v>
      </c>
      <c r="H10" s="14" t="n">
        <f aca="false">IF(Corpus!Q10="None",1,Corpus!N10/Corpus!H10)</f>
        <v>0.548648648648649</v>
      </c>
      <c r="I10" s="14" t="n">
        <f aca="false">F10*G10*H10</f>
        <v>0.174973066438196</v>
      </c>
      <c r="J10" s="14" t="n">
        <f aca="false">B10*I10</f>
        <v>1.9828361621246</v>
      </c>
      <c r="K10" s="14" t="n">
        <f aca="false">J10*Assumptions!$B$9</f>
        <v>0.699941165229983</v>
      </c>
      <c r="L10" s="14" t="n">
        <f aca="false">J10*Assumptions!$B$10</f>
        <v>0.127298081608399</v>
      </c>
    </row>
    <row r="11" customFormat="false" ht="15" hidden="false" customHeight="true" outlineLevel="0" collapsed="false">
      <c r="A11" s="3" t="s">
        <v>68</v>
      </c>
      <c r="B11" s="15" t="n">
        <f aca="false">Table7!L11</f>
        <v>3.251490829379</v>
      </c>
      <c r="C11" s="16" t="n">
        <f aca="false">Corpus!E11</f>
        <v>140.5</v>
      </c>
      <c r="D11" s="16" t="n">
        <f aca="false">Corpus!F11</f>
        <v>18.1</v>
      </c>
      <c r="E11" s="17" t="str">
        <f aca="false">Corpus!Q11</f>
        <v>None</v>
      </c>
      <c r="F11" s="14" t="n">
        <f aca="false">IF(Corpus!R11="5x",Assumptions!$B$17,Assumptions!$B$19)</f>
        <v>0.36</v>
      </c>
      <c r="G11" s="14" t="n">
        <f aca="false">C11/(C11+D11)</f>
        <v>0.885876418663304</v>
      </c>
      <c r="H11" s="14" t="n">
        <f aca="false">IF(Corpus!Q11="None",1,Corpus!N11/Corpus!H11)</f>
        <v>1</v>
      </c>
      <c r="I11" s="14" t="n">
        <f aca="false">F11*G11*H11</f>
        <v>0.318915510718789</v>
      </c>
      <c r="J11" s="14" t="n">
        <f aca="false">B11*I11</f>
        <v>1.03695085844886</v>
      </c>
      <c r="K11" s="14" t="n">
        <f aca="false">J11*Assumptions!$B$9</f>
        <v>0.366043653032449</v>
      </c>
      <c r="L11" s="14" t="n">
        <f aca="false">J11*Assumptions!$B$10</f>
        <v>0.066572245112417</v>
      </c>
    </row>
    <row r="12" customFormat="false" ht="15" hidden="false" customHeight="true" outlineLevel="0" collapsed="false">
      <c r="A12" s="3" t="s">
        <v>70</v>
      </c>
      <c r="B12" s="15" t="n">
        <f aca="false">Table7!L12</f>
        <v>5.61455450547536</v>
      </c>
      <c r="C12" s="16" t="n">
        <f aca="false">Corpus!E12</f>
        <v>136.7</v>
      </c>
      <c r="D12" s="16" t="n">
        <f aca="false">Corpus!F12</f>
        <v>15.2</v>
      </c>
      <c r="E12" s="17" t="str">
        <f aca="false">Corpus!Q12</f>
        <v>Medium</v>
      </c>
      <c r="F12" s="14" t="n">
        <f aca="false">IF(Corpus!R12="5x",Assumptions!$B$17,Assumptions!$B$19)</f>
        <v>0.36</v>
      </c>
      <c r="G12" s="14" t="n">
        <f aca="false">C12/(C12+D12)</f>
        <v>0.899934167215273</v>
      </c>
      <c r="H12" s="14" t="n">
        <f aca="false">IF(Corpus!Q12="None",1,Corpus!N12/Corpus!H12)</f>
        <v>0.646706586826347</v>
      </c>
      <c r="I12" s="14" t="n">
        <f aca="false">F12*G12*H12</f>
        <v>0.209517607313352</v>
      </c>
      <c r="J12" s="14" t="n">
        <f aca="false">B12*I12</f>
        <v>1.1763480261176</v>
      </c>
      <c r="K12" s="14" t="n">
        <f aca="false">J12*Assumptions!$B$9</f>
        <v>0.415250853219513</v>
      </c>
      <c r="L12" s="14" t="n">
        <f aca="false">J12*Assumptions!$B$10</f>
        <v>0.0755215432767499</v>
      </c>
    </row>
    <row r="13" customFormat="false" ht="15" hidden="false" customHeight="true" outlineLevel="0" collapsed="false">
      <c r="A13" s="3" t="s">
        <v>71</v>
      </c>
      <c r="B13" s="15" t="n">
        <f aca="false">Table7!L13</f>
        <v>42.1945304727329</v>
      </c>
      <c r="C13" s="16" t="n">
        <f aca="false">Corpus!E13</f>
        <v>139.2</v>
      </c>
      <c r="D13" s="16" t="n">
        <f aca="false">Corpus!F13</f>
        <v>24.5</v>
      </c>
      <c r="E13" s="17" t="str">
        <f aca="false">Corpus!Q13</f>
        <v>xHigh</v>
      </c>
      <c r="F13" s="14" t="n">
        <f aca="false">IF(Corpus!R13="5x",Assumptions!$B$17,Assumptions!$B$19)</f>
        <v>0.36</v>
      </c>
      <c r="G13" s="14" t="n">
        <f aca="false">C13/(C13+D13)</f>
        <v>0.850335980452046</v>
      </c>
      <c r="H13" s="14" t="n">
        <f aca="false">IF(Corpus!Q13="None",1,Corpus!N13/Corpus!H13)</f>
        <v>0.285165257494235</v>
      </c>
      <c r="I13" s="14" t="n">
        <f aca="false">F13*G13*H13</f>
        <v>0.0872950603759995</v>
      </c>
      <c r="J13" s="14" t="n">
        <f aca="false">B13*I13</f>
        <v>3.68337408515417</v>
      </c>
      <c r="K13" s="14" t="n">
        <f aca="false">J13*Assumptions!$B$9</f>
        <v>1.30023105205942</v>
      </c>
      <c r="L13" s="14" t="n">
        <f aca="false">J13*Assumptions!$B$10</f>
        <v>0.236472616266898</v>
      </c>
    </row>
    <row r="14" customFormat="false" ht="15" hidden="false" customHeight="true" outlineLevel="0" collapsed="false">
      <c r="A14" s="3" t="s">
        <v>72</v>
      </c>
      <c r="B14" s="15" t="n">
        <f aca="false">Table7!L14</f>
        <v>5.50150432278334</v>
      </c>
      <c r="C14" s="16" t="n">
        <f aca="false">Corpus!E14</f>
        <v>86</v>
      </c>
      <c r="D14" s="16" t="n">
        <f aca="false">Corpus!F14</f>
        <v>12.7</v>
      </c>
      <c r="E14" s="17" t="str">
        <f aca="false">Corpus!Q14</f>
        <v>None</v>
      </c>
      <c r="F14" s="14" t="n">
        <f aca="false">IF(Corpus!R14="5x",Assumptions!$B$17,Assumptions!$B$19)</f>
        <v>0.36</v>
      </c>
      <c r="G14" s="14" t="n">
        <f aca="false">C14/(C14+D14)</f>
        <v>0.871327254305978</v>
      </c>
      <c r="H14" s="14" t="n">
        <f aca="false">IF(Corpus!Q14="None",1,Corpus!N14/Corpus!H14)</f>
        <v>1</v>
      </c>
      <c r="I14" s="14" t="n">
        <f aca="false">F14*G14*H14</f>
        <v>0.313677811550152</v>
      </c>
      <c r="J14" s="14" t="n">
        <f aca="false">B14*I14</f>
        <v>1.72569983620438</v>
      </c>
      <c r="K14" s="14" t="n">
        <f aca="false">J14*Assumptions!$B$9</f>
        <v>0.609172042180145</v>
      </c>
      <c r="L14" s="14" t="n">
        <f aca="false">J14*Assumptions!$B$10</f>
        <v>0.110789929484321</v>
      </c>
    </row>
    <row r="15" customFormat="false" ht="15" hidden="false" customHeight="true" outlineLevel="0" collapsed="false">
      <c r="A15" s="3" t="s">
        <v>74</v>
      </c>
      <c r="B15" s="15" t="n">
        <f aca="false">Table7!L15</f>
        <v>19.327335067623</v>
      </c>
      <c r="C15" s="16" t="n">
        <f aca="false">Corpus!E15</f>
        <v>95.6</v>
      </c>
      <c r="D15" s="16" t="n">
        <f aca="false">Corpus!F15</f>
        <v>10.1</v>
      </c>
      <c r="E15" s="17" t="str">
        <f aca="false">Corpus!Q15</f>
        <v>xHigh</v>
      </c>
      <c r="F15" s="14" t="n">
        <f aca="false">IF(Corpus!R15="5x",Assumptions!$B$17,Assumptions!$B$19)</f>
        <v>0.36</v>
      </c>
      <c r="G15" s="14" t="n">
        <f aca="false">C15/(C15+D15)</f>
        <v>0.904446546830653</v>
      </c>
      <c r="H15" s="14" t="n">
        <f aca="false">IF(Corpus!Q15="None",1,Corpus!N15/Corpus!H15)</f>
        <v>0.370179948586118</v>
      </c>
      <c r="I15" s="14" t="n">
        <f aca="false">F15*G15*H15</f>
        <v>0.120530871433679</v>
      </c>
      <c r="J15" s="14" t="n">
        <f aca="false">B15*I15</f>
        <v>2.32954053819129</v>
      </c>
      <c r="K15" s="14" t="n">
        <f aca="false">J15*Assumptions!$B$9</f>
        <v>0.822327809981527</v>
      </c>
      <c r="L15" s="14" t="n">
        <f aca="false">J15*Assumptions!$B$10</f>
        <v>0.149556502551881</v>
      </c>
    </row>
    <row r="16" customFormat="false" ht="15" hidden="false" customHeight="true" outlineLevel="0" collapsed="false">
      <c r="A16" s="3" t="s">
        <v>75</v>
      </c>
      <c r="B16" s="15" t="n">
        <f aca="false">Table7!L16</f>
        <v>13.5017830889279</v>
      </c>
      <c r="C16" s="16" t="n">
        <f aca="false">Corpus!E16</f>
        <v>60.9</v>
      </c>
      <c r="D16" s="16" t="n">
        <f aca="false">Corpus!F16</f>
        <v>9.2</v>
      </c>
      <c r="E16" s="17" t="str">
        <f aca="false">Corpus!Q16</f>
        <v>Minimal (measured)</v>
      </c>
      <c r="F16" s="14" t="n">
        <f aca="false">IF(Corpus!R16="5x",Assumptions!$B$17,Assumptions!$B$19)</f>
        <v>0.36</v>
      </c>
      <c r="G16" s="14" t="n">
        <f aca="false">C16/(C16+D16)</f>
        <v>0.868758915834522</v>
      </c>
      <c r="H16" s="14" t="n">
        <f aca="false">IF(Corpus!Q16="None",1,Corpus!N16/Corpus!H16)</f>
        <v>0.596491228070176</v>
      </c>
      <c r="I16" s="14" t="n">
        <f aca="false">F16*G16*H16</f>
        <v>0.186554546137097</v>
      </c>
      <c r="J16" s="14" t="n">
        <f aca="false">B16*I16</f>
        <v>2.51881901619647</v>
      </c>
      <c r="K16" s="14" t="n">
        <f aca="false">J16*Assumptions!$B$9</f>
        <v>0.889143112717355</v>
      </c>
      <c r="L16" s="14" t="n">
        <f aca="false">J16*Assumptions!$B$10</f>
        <v>0.161708180839814</v>
      </c>
    </row>
    <row r="17" customFormat="false" ht="15" hidden="false" customHeight="true" outlineLevel="0" collapsed="false">
      <c r="A17" s="3" t="s">
        <v>77</v>
      </c>
      <c r="B17" s="15" t="n">
        <f aca="false">Table7!L17</f>
        <v>11.1690934860704</v>
      </c>
      <c r="C17" s="16" t="n">
        <f aca="false">Corpus!E17</f>
        <v>61.2</v>
      </c>
      <c r="D17" s="16" t="n">
        <f aca="false">Corpus!F17</f>
        <v>8.6</v>
      </c>
      <c r="E17" s="17" t="str">
        <f aca="false">Corpus!Q17</f>
        <v>Low</v>
      </c>
      <c r="F17" s="14" t="n">
        <f aca="false">IF(Corpus!R17="5x",Assumptions!$B$17,Assumptions!$B$19)</f>
        <v>0.36</v>
      </c>
      <c r="G17" s="14" t="n">
        <f aca="false">C17/(C17+D17)</f>
        <v>0.876790830945559</v>
      </c>
      <c r="H17" s="14" t="n">
        <f aca="false">IF(Corpus!Q17="None",1,Corpus!N17/Corpus!H17)</f>
        <v>0.696551724137931</v>
      </c>
      <c r="I17" s="14" t="n">
        <f aca="false">F17*G17*H17</f>
        <v>0.219862859401245</v>
      </c>
      <c r="J17" s="14" t="n">
        <f aca="false">B17*I17</f>
        <v>2.45566883076725</v>
      </c>
      <c r="K17" s="14" t="n">
        <f aca="false">J17*Assumptions!$B$9</f>
        <v>0.86685109726084</v>
      </c>
      <c r="L17" s="14" t="n">
        <f aca="false">J17*Assumptions!$B$10</f>
        <v>0.157653938935258</v>
      </c>
    </row>
    <row r="18" customFormat="false" ht="15" hidden="false" customHeight="true" outlineLevel="0" collapsed="false">
      <c r="A18" s="3" t="s">
        <v>79</v>
      </c>
      <c r="B18" s="15" t="n">
        <f aca="false">Table7!L18</f>
        <v>13.122528916653</v>
      </c>
      <c r="C18" s="16" t="n">
        <f aca="false">Corpus!E18</f>
        <v>61.4</v>
      </c>
      <c r="D18" s="16" t="n">
        <f aca="false">Corpus!F18</f>
        <v>9.1</v>
      </c>
      <c r="E18" s="17" t="str">
        <f aca="false">Corpus!Q18</f>
        <v>Medium</v>
      </c>
      <c r="F18" s="14" t="n">
        <f aca="false">IF(Corpus!R18="5x",Assumptions!$B$17,Assumptions!$B$19)</f>
        <v>0.36</v>
      </c>
      <c r="G18" s="14" t="n">
        <f aca="false">C18/(C18+D18)</f>
        <v>0.870921985815603</v>
      </c>
      <c r="H18" s="14" t="n">
        <f aca="false">IF(Corpus!Q18="None",1,Corpus!N18/Corpus!H18)</f>
        <v>0.603550295857988</v>
      </c>
      <c r="I18" s="14" t="n">
        <f aca="false">F18*G18*H18</f>
        <v>0.189232279994964</v>
      </c>
      <c r="J18" s="14" t="n">
        <f aca="false">B18*I18</f>
        <v>2.48320606619809</v>
      </c>
      <c r="K18" s="14" t="n">
        <f aca="false">J18*Assumptions!$B$9</f>
        <v>0.876571741367926</v>
      </c>
      <c r="L18" s="14" t="n">
        <f aca="false">J18*Assumptions!$B$10</f>
        <v>0.159421829449917</v>
      </c>
    </row>
    <row r="19" customFormat="false" ht="15" hidden="false" customHeight="true" outlineLevel="0" collapsed="false">
      <c r="A19" s="3" t="s">
        <v>80</v>
      </c>
      <c r="B19" s="15" t="n">
        <f aca="false">Table7!L19</f>
        <v>18.6190522785467</v>
      </c>
      <c r="C19" s="16" t="n">
        <f aca="false">Corpus!E19</f>
        <v>61.5</v>
      </c>
      <c r="D19" s="16" t="n">
        <f aca="false">Corpus!F19</f>
        <v>9</v>
      </c>
      <c r="E19" s="17" t="str">
        <f aca="false">Corpus!Q19</f>
        <v>High</v>
      </c>
      <c r="F19" s="14" t="n">
        <f aca="false">IF(Corpus!R19="5x",Assumptions!$B$17,Assumptions!$B$19)</f>
        <v>0.36</v>
      </c>
      <c r="G19" s="14" t="n">
        <f aca="false">C19/(C19+D19)</f>
        <v>0.872340425531915</v>
      </c>
      <c r="H19" s="14" t="n">
        <f aca="false">IF(Corpus!Q19="None",1,Corpus!N19/Corpus!H19)</f>
        <v>0.476987447698745</v>
      </c>
      <c r="I19" s="14" t="n">
        <f aca="false">F19*G19*H19</f>
        <v>0.149794355915606</v>
      </c>
      <c r="J19" s="14" t="n">
        <f aca="false">B19*I19</f>
        <v>2.7890289438239</v>
      </c>
      <c r="K19" s="14" t="n">
        <f aca="false">J19*Assumptions!$B$9</f>
        <v>0.984527217169836</v>
      </c>
      <c r="L19" s="14" t="n">
        <f aca="false">J19*Assumptions!$B$10</f>
        <v>0.179055658193494</v>
      </c>
    </row>
    <row r="20" customFormat="false" ht="15" hidden="false" customHeight="true" outlineLevel="0" collapsed="false">
      <c r="A20" s="3" t="s">
        <v>81</v>
      </c>
      <c r="B20" s="15" t="n">
        <f aca="false">Table7!L20</f>
        <v>19.4138913785679</v>
      </c>
      <c r="C20" s="16" t="n">
        <f aca="false">Corpus!E20</f>
        <v>61.4</v>
      </c>
      <c r="D20" s="16" t="n">
        <f aca="false">Corpus!F20</f>
        <v>9.9</v>
      </c>
      <c r="E20" s="17" t="str">
        <f aca="false">Corpus!Q20</f>
        <v>xHigh</v>
      </c>
      <c r="F20" s="14" t="n">
        <f aca="false">IF(Corpus!R20="5x",Assumptions!$B$17,Assumptions!$B$19)</f>
        <v>0.36</v>
      </c>
      <c r="G20" s="14" t="n">
        <f aca="false">C20/(C20+D20)</f>
        <v>0.861150070126227</v>
      </c>
      <c r="H20" s="14" t="n">
        <f aca="false">IF(Corpus!Q20="None",1,Corpus!N20/Corpus!H20)</f>
        <v>0.524390243902439</v>
      </c>
      <c r="I20" s="14" t="n">
        <f aca="false">F20*G20*H20</f>
        <v>0.162568330311634</v>
      </c>
      <c r="J20" s="14" t="n">
        <f aca="false">B20*I20</f>
        <v>3.15608390626521</v>
      </c>
      <c r="K20" s="14" t="n">
        <f aca="false">J20*Assumptions!$B$9</f>
        <v>1.11409761891162</v>
      </c>
      <c r="L20" s="14" t="n">
        <f aca="false">J20*Assumptions!$B$10</f>
        <v>0.202620586782226</v>
      </c>
    </row>
    <row r="21" customFormat="false" ht="15.75" hidden="false" customHeight="true" outlineLevel="0" collapsed="false">
      <c r="A21" s="3" t="s">
        <v>82</v>
      </c>
      <c r="B21" s="15" t="n">
        <f aca="false">Table7!L21</f>
        <v>5.82354773210162</v>
      </c>
      <c r="C21" s="16" t="n">
        <f aca="false">Corpus!E21</f>
        <v>127.8</v>
      </c>
      <c r="D21" s="16" t="n">
        <f aca="false">Corpus!F21</f>
        <v>19.9</v>
      </c>
      <c r="E21" s="17" t="str">
        <f aca="false">Corpus!Q21</f>
        <v>Minimal (measured)</v>
      </c>
      <c r="F21" s="14" t="n">
        <f aca="false">IF(Corpus!R21="5x",Assumptions!$B$17,Assumptions!$B$19)</f>
        <v>0.36</v>
      </c>
      <c r="G21" s="14" t="n">
        <f aca="false">C21/(C21+D21)</f>
        <v>0.865267433987813</v>
      </c>
      <c r="H21" s="14" t="n">
        <f aca="false">IF(Corpus!Q21="None",1,Corpus!N21/Corpus!H21)</f>
        <v>0.64375</v>
      </c>
      <c r="I21" s="14" t="n">
        <f aca="false">F21*G21*H21</f>
        <v>0.200525727826676</v>
      </c>
      <c r="J21" s="14" t="n">
        <f aca="false">B21*I21</f>
        <v>1.16777114751306</v>
      </c>
      <c r="K21" s="14" t="n">
        <f aca="false">J21*Assumptions!$B$9</f>
        <v>0.412223215072111</v>
      </c>
      <c r="L21" s="14" t="n">
        <f aca="false">J21*Assumptions!$B$10</f>
        <v>0.0749709076703387</v>
      </c>
    </row>
    <row r="22" customFormat="false" ht="15.75" hidden="false" customHeight="true" outlineLevel="0" collapsed="false">
      <c r="A22" s="3" t="s">
        <v>83</v>
      </c>
      <c r="B22" s="15" t="n">
        <f aca="false">Table7!L22</f>
        <v>5.12781928361775</v>
      </c>
      <c r="C22" s="16" t="n">
        <f aca="false">Corpus!E22</f>
        <v>130</v>
      </c>
      <c r="D22" s="16" t="n">
        <f aca="false">Corpus!F22</f>
        <v>21.1</v>
      </c>
      <c r="E22" s="17" t="str">
        <f aca="false">Corpus!Q22</f>
        <v>Low</v>
      </c>
      <c r="F22" s="14" t="n">
        <f aca="false">IF(Corpus!R22="5x",Assumptions!$B$17,Assumptions!$B$19)</f>
        <v>0.36</v>
      </c>
      <c r="G22" s="14" t="n">
        <f aca="false">C22/(C22+D22)</f>
        <v>0.86035737921906</v>
      </c>
      <c r="H22" s="14" t="n">
        <f aca="false">IF(Corpus!Q22="None",1,Corpus!N22/Corpus!H22)</f>
        <v>0.713286713286713</v>
      </c>
      <c r="I22" s="14" t="n">
        <f aca="false">F22*G22*H22</f>
        <v>0.220925335419048</v>
      </c>
      <c r="J22" s="14" t="n">
        <f aca="false">B22*I22</f>
        <v>1.13286519520151</v>
      </c>
      <c r="K22" s="14" t="n">
        <f aca="false">J22*Assumptions!$B$9</f>
        <v>0.399901413906135</v>
      </c>
      <c r="L22" s="14" t="n">
        <f aca="false">J22*Assumptions!$B$10</f>
        <v>0.0727299455319372</v>
      </c>
    </row>
    <row r="23" customFormat="false" ht="15.75" hidden="false" customHeight="true" outlineLevel="0" collapsed="false">
      <c r="A23" s="3" t="s">
        <v>84</v>
      </c>
      <c r="B23" s="15" t="n">
        <f aca="false">Table7!L23</f>
        <v>5.53719416477652</v>
      </c>
      <c r="C23" s="16" t="n">
        <f aca="false">Corpus!E23</f>
        <v>135.1</v>
      </c>
      <c r="D23" s="16" t="n">
        <f aca="false">Corpus!F23</f>
        <v>29.1</v>
      </c>
      <c r="E23" s="17" t="str">
        <f aca="false">Corpus!Q23</f>
        <v>Medium</v>
      </c>
      <c r="F23" s="14" t="n">
        <f aca="false">IF(Corpus!R23="5x",Assumptions!$B$17,Assumptions!$B$19)</f>
        <v>0.36</v>
      </c>
      <c r="G23" s="14" t="n">
        <f aca="false">C23/(C23+D23)</f>
        <v>0.822777101096224</v>
      </c>
      <c r="H23" s="14" t="n">
        <f aca="false">IF(Corpus!Q23="None",1,Corpus!N23/Corpus!H23)</f>
        <v>0.651898734177215</v>
      </c>
      <c r="I23" s="14" t="n">
        <f aca="false">F23*G23*H23</f>
        <v>0.193092246257266</v>
      </c>
      <c r="J23" s="14" t="n">
        <f aca="false">B23*I23</f>
        <v>1.06918925923932</v>
      </c>
      <c r="K23" s="14" t="n">
        <f aca="false">J23*Assumptions!$B$9</f>
        <v>0.377423808511481</v>
      </c>
      <c r="L23" s="14" t="n">
        <f aca="false">J23*Assumptions!$B$10</f>
        <v>0.0686419504431645</v>
      </c>
    </row>
    <row r="24" customFormat="false" ht="15.75" hidden="false" customHeight="true" outlineLevel="0" collapsed="false">
      <c r="A24" s="3" t="s">
        <v>85</v>
      </c>
      <c r="B24" s="15" t="n">
        <f aca="false">Table7!L24</f>
        <v>7.45852231933594</v>
      </c>
      <c r="C24" s="16" t="n">
        <f aca="false">Corpus!E24</f>
        <v>131.4</v>
      </c>
      <c r="D24" s="16" t="n">
        <f aca="false">Corpus!F24</f>
        <v>17.8</v>
      </c>
      <c r="E24" s="17" t="str">
        <f aca="false">Corpus!Q24</f>
        <v>High</v>
      </c>
      <c r="F24" s="14" t="n">
        <f aca="false">IF(Corpus!R24="5x",Assumptions!$B$17,Assumptions!$B$19)</f>
        <v>0.36</v>
      </c>
      <c r="G24" s="14" t="n">
        <f aca="false">C24/(C24+D24)</f>
        <v>0.880697050938338</v>
      </c>
      <c r="H24" s="14" t="n">
        <f aca="false">IF(Corpus!Q24="None",1,Corpus!N24/Corpus!H24)</f>
        <v>0.523809523809524</v>
      </c>
      <c r="I24" s="14" t="n">
        <f aca="false">F24*G24*H24</f>
        <v>0.166074301034087</v>
      </c>
      <c r="J24" s="14" t="n">
        <f aca="false">B24*I24</f>
        <v>1.23866888093085</v>
      </c>
      <c r="K24" s="14" t="n">
        <f aca="false">J24*Assumptions!$B$9</f>
        <v>0.43725011496859</v>
      </c>
      <c r="L24" s="14" t="n">
        <f aca="false">J24*Assumptions!$B$10</f>
        <v>0.0795225421557606</v>
      </c>
    </row>
    <row r="25" customFormat="false" ht="15.75" hidden="false" customHeight="true" outlineLevel="0" collapsed="false">
      <c r="A25" s="3" t="s">
        <v>86</v>
      </c>
      <c r="B25" s="15" t="n">
        <f aca="false">Table7!L25</f>
        <v>9.36883368870968</v>
      </c>
      <c r="C25" s="16" t="n">
        <f aca="false">Corpus!E25</f>
        <v>130.1</v>
      </c>
      <c r="D25" s="16" t="n">
        <f aca="false">Corpus!F25</f>
        <v>20.3</v>
      </c>
      <c r="E25" s="17" t="str">
        <f aca="false">Corpus!Q25</f>
        <v>xHigh</v>
      </c>
      <c r="F25" s="14" t="n">
        <f aca="false">IF(Corpus!R25="5x",Assumptions!$B$17,Assumptions!$B$19)</f>
        <v>0.36</v>
      </c>
      <c r="G25" s="14" t="n">
        <f aca="false">C25/(C25+D25)</f>
        <v>0.865026595744681</v>
      </c>
      <c r="H25" s="14" t="n">
        <f aca="false">IF(Corpus!Q25="None",1,Corpus!N25/Corpus!H25)</f>
        <v>0.472868217054264</v>
      </c>
      <c r="I25" s="14" t="n">
        <f aca="false">F25*G25*H25</f>
        <v>0.14725569025235</v>
      </c>
      <c r="J25" s="14" t="n">
        <f aca="false">B25*I25</f>
        <v>1.37961407169042</v>
      </c>
      <c r="K25" s="14" t="n">
        <f aca="false">J25*Assumptions!$B$9</f>
        <v>0.487003767306717</v>
      </c>
      <c r="L25" s="14" t="n">
        <f aca="false">J25*Assumptions!$B$10</f>
        <v>0.0885712234025248</v>
      </c>
    </row>
    <row r="26" customFormat="false" ht="15.75" hidden="false" customHeight="true" outlineLevel="0" collapsed="false">
      <c r="A26" s="3" t="s">
        <v>87</v>
      </c>
      <c r="B26" s="15" t="n">
        <f aca="false">Table7!L26</f>
        <v>12.8677181130221</v>
      </c>
      <c r="C26" s="16" t="n">
        <f aca="false">Corpus!E26</f>
        <v>53.9</v>
      </c>
      <c r="D26" s="16" t="n">
        <f aca="false">Corpus!F26</f>
        <v>6.4</v>
      </c>
      <c r="E26" s="17" t="str">
        <f aca="false">Corpus!Q26</f>
        <v>Minimal (measured)</v>
      </c>
      <c r="F26" s="14" t="n">
        <f aca="false">IF(Corpus!R26="5x",Assumptions!$B$17,Assumptions!$B$19)</f>
        <v>0.36</v>
      </c>
      <c r="G26" s="14" t="n">
        <f aca="false">C26/(C26+D26)</f>
        <v>0.893864013266998</v>
      </c>
      <c r="H26" s="14" t="n">
        <f aca="false">IF(Corpus!Q26="None",1,Corpus!N26/Corpus!H26)</f>
        <v>0.708333333333333</v>
      </c>
      <c r="I26" s="14" t="n">
        <f aca="false">F26*G26*H26</f>
        <v>0.227935323383085</v>
      </c>
      <c r="J26" s="14" t="n">
        <f aca="false">B26*I26</f>
        <v>2.93300748929407</v>
      </c>
      <c r="K26" s="14" t="n">
        <f aca="false">J26*Assumptions!$B$9</f>
        <v>1.03535164372081</v>
      </c>
      <c r="L26" s="14" t="n">
        <f aca="false">J26*Assumptions!$B$10</f>
        <v>0.188299080812679</v>
      </c>
    </row>
    <row r="27" customFormat="false" ht="15.75" hidden="false" customHeight="true" outlineLevel="0" collapsed="false">
      <c r="A27" s="3" t="s">
        <v>88</v>
      </c>
      <c r="B27" s="15" t="n">
        <f aca="false">Table7!L27</f>
        <v>12.0031178428225</v>
      </c>
      <c r="C27" s="16" t="n">
        <f aca="false">Corpus!E27</f>
        <v>53.2</v>
      </c>
      <c r="D27" s="16" t="n">
        <f aca="false">Corpus!F27</f>
        <v>8.2</v>
      </c>
      <c r="E27" s="17" t="str">
        <f aca="false">Corpus!Q27</f>
        <v>Low</v>
      </c>
      <c r="F27" s="14" t="n">
        <f aca="false">IF(Corpus!R27="5x",Assumptions!$B$17,Assumptions!$B$19)</f>
        <v>0.36</v>
      </c>
      <c r="G27" s="14" t="n">
        <f aca="false">C27/(C27+D27)</f>
        <v>0.866449511400651</v>
      </c>
      <c r="H27" s="14" t="n">
        <f aca="false">IF(Corpus!Q27="None",1,Corpus!N27/Corpus!H27)</f>
        <v>0.742647058823529</v>
      </c>
      <c r="I27" s="14" t="n">
        <f aca="false">F27*G27*H27</f>
        <v>0.23164782525388</v>
      </c>
      <c r="J27" s="14" t="n">
        <f aca="false">B27*I27</f>
        <v>2.78049614455587</v>
      </c>
      <c r="K27" s="14" t="n">
        <f aca="false">J27*Assumptions!$B$9</f>
        <v>0.981515139028222</v>
      </c>
      <c r="L27" s="14" t="n">
        <f aca="false">J27*Assumptions!$B$10</f>
        <v>0.178507852480487</v>
      </c>
    </row>
    <row r="28" customFormat="false" ht="15.75" hidden="false" customHeight="true" outlineLevel="0" collapsed="false">
      <c r="A28" s="3" t="s">
        <v>89</v>
      </c>
      <c r="B28" s="15" t="n">
        <f aca="false">Table7!L28</f>
        <v>12.9570272894295</v>
      </c>
      <c r="C28" s="16" t="n">
        <f aca="false">Corpus!E28</f>
        <v>54.4</v>
      </c>
      <c r="D28" s="16" t="n">
        <f aca="false">Corpus!F28</f>
        <v>6.5</v>
      </c>
      <c r="E28" s="17" t="str">
        <f aca="false">Corpus!Q28</f>
        <v>Medium</v>
      </c>
      <c r="F28" s="14" t="n">
        <f aca="false">IF(Corpus!R28="5x",Assumptions!$B$17,Assumptions!$B$19)</f>
        <v>0.36</v>
      </c>
      <c r="G28" s="14" t="n">
        <f aca="false">C28/(C28+D28)</f>
        <v>0.893267651888342</v>
      </c>
      <c r="H28" s="14" t="n">
        <f aca="false">IF(Corpus!Q28="None",1,Corpus!N28/Corpus!H28)</f>
        <v>0.693877551020408</v>
      </c>
      <c r="I28" s="14" t="n">
        <f aca="false">F28*G28*H28</f>
        <v>0.223134613451292</v>
      </c>
      <c r="J28" s="14" t="n">
        <f aca="false">B28*I28</f>
        <v>2.8911612757047</v>
      </c>
      <c r="K28" s="14" t="n">
        <f aca="false">J28*Assumptions!$B$9</f>
        <v>1.02057993032376</v>
      </c>
      <c r="L28" s="14" t="n">
        <f aca="false">J28*Assumptions!$B$10</f>
        <v>0.185612553900242</v>
      </c>
    </row>
    <row r="29" customFormat="false" ht="15.75" hidden="false" customHeight="true" outlineLevel="0" collapsed="false">
      <c r="A29" s="3" t="s">
        <v>90</v>
      </c>
      <c r="B29" s="15" t="n">
        <f aca="false">Table7!L29</f>
        <v>14.4581544221518</v>
      </c>
      <c r="C29" s="16" t="n">
        <f aca="false">Corpus!E29</f>
        <v>53.5</v>
      </c>
      <c r="D29" s="16" t="n">
        <f aca="false">Corpus!F29</f>
        <v>6.6</v>
      </c>
      <c r="E29" s="17" t="str">
        <f aca="false">Corpus!Q29</f>
        <v>High</v>
      </c>
      <c r="F29" s="14" t="n">
        <f aca="false">IF(Corpus!R29="5x",Assumptions!$B$17,Assumptions!$B$19)</f>
        <v>0.36</v>
      </c>
      <c r="G29" s="14" t="n">
        <f aca="false">C29/(C29+D29)</f>
        <v>0.89018302828619</v>
      </c>
      <c r="H29" s="14" t="n">
        <f aca="false">IF(Corpus!Q29="None",1,Corpus!N29/Corpus!H29)</f>
        <v>0.646341463414634</v>
      </c>
      <c r="I29" s="14" t="n">
        <f aca="false">F29*G29*H29</f>
        <v>0.207130392435372</v>
      </c>
      <c r="J29" s="14" t="n">
        <f aca="false">B29*I29</f>
        <v>2.99472319935151</v>
      </c>
      <c r="K29" s="14" t="n">
        <f aca="false">J29*Assumptions!$B$9</f>
        <v>1.05713728937108</v>
      </c>
      <c r="L29" s="14" t="n">
        <f aca="false">J29*Assumptions!$B$10</f>
        <v>0.192261229398367</v>
      </c>
    </row>
    <row r="30" customFormat="false" ht="15.75" hidden="false" customHeight="true" outlineLevel="0" collapsed="false">
      <c r="A30" s="3" t="s">
        <v>91</v>
      </c>
      <c r="B30" s="15" t="n">
        <f aca="false">Table7!L30</f>
        <v>16.356577208205</v>
      </c>
      <c r="C30" s="16" t="n">
        <f aca="false">Corpus!E30</f>
        <v>54.7</v>
      </c>
      <c r="D30" s="16" t="n">
        <f aca="false">Corpus!F30</f>
        <v>8.5</v>
      </c>
      <c r="E30" s="17" t="str">
        <f aca="false">Corpus!Q30</f>
        <v>xHigh</v>
      </c>
      <c r="F30" s="14" t="n">
        <f aca="false">IF(Corpus!R30="5x",Assumptions!$B$17,Assumptions!$B$19)</f>
        <v>0.36</v>
      </c>
      <c r="G30" s="14" t="n">
        <f aca="false">C30/(C30+D30)</f>
        <v>0.865506329113924</v>
      </c>
      <c r="H30" s="14" t="n">
        <f aca="false">IF(Corpus!Q30="None",1,Corpus!N30/Corpus!H30)</f>
        <v>0.602094240837696</v>
      </c>
      <c r="I30" s="14" t="n">
        <f aca="false">F30*G30*H30</f>
        <v>0.187601895420505</v>
      </c>
      <c r="J30" s="14" t="n">
        <f aca="false">B30*I30</f>
        <v>3.0685248868511</v>
      </c>
      <c r="K30" s="14" t="n">
        <f aca="false">J30*Assumptions!$B$9</f>
        <v>1.08318928505844</v>
      </c>
      <c r="L30" s="14" t="n">
        <f aca="false">J30*Assumptions!$B$10</f>
        <v>0.19699929773584</v>
      </c>
    </row>
    <row r="31" customFormat="false" ht="15.75" hidden="false" customHeight="true" outlineLevel="0" collapsed="false">
      <c r="A31" s="3" t="s">
        <v>92</v>
      </c>
      <c r="B31" s="15" t="n">
        <f aca="false">Table7!L31</f>
        <v>16.356577208205</v>
      </c>
      <c r="C31" s="16" t="n">
        <f aca="false">Corpus!E31</f>
        <v>54.7</v>
      </c>
      <c r="D31" s="16" t="n">
        <f aca="false">Corpus!F31</f>
        <v>8.5</v>
      </c>
      <c r="E31" s="17" t="str">
        <f aca="false">Corpus!Q31</f>
        <v>Max (floor)</v>
      </c>
      <c r="F31" s="14" t="n">
        <f aca="false">IF(Corpus!R31="5x",Assumptions!$B$17,Assumptions!$B$19)</f>
        <v>0.36</v>
      </c>
      <c r="G31" s="14" t="n">
        <f aca="false">C31/(C31+D31)</f>
        <v>0.865506329113924</v>
      </c>
      <c r="H31" s="14" t="n">
        <f aca="false">IF(Corpus!Q31="None",1,Corpus!N31/Corpus!H31)</f>
        <v>0.602094240837696</v>
      </c>
      <c r="I31" s="14" t="n">
        <f aca="false">F31*G31*H31</f>
        <v>0.187601895420505</v>
      </c>
      <c r="J31" s="14" t="n">
        <f aca="false">B31*I31</f>
        <v>3.0685248868511</v>
      </c>
      <c r="K31" s="14" t="n">
        <f aca="false">J31*Assumptions!$B$9</f>
        <v>1.08318928505844</v>
      </c>
      <c r="L31" s="14" t="n">
        <f aca="false">J31*Assumptions!$B$10</f>
        <v>0.19699929773584</v>
      </c>
    </row>
    <row r="32" customFormat="false" ht="15.75" hidden="false" customHeight="true" outlineLevel="0" collapsed="false">
      <c r="A32" s="3" t="s">
        <v>94</v>
      </c>
      <c r="B32" s="15" t="n">
        <f aca="false">Table7!L32</f>
        <v>6.73684056241611</v>
      </c>
      <c r="C32" s="16" t="n">
        <f aca="false">Corpus!E32</f>
        <v>94.5</v>
      </c>
      <c r="D32" s="16" t="n">
        <f aca="false">Corpus!F32</f>
        <v>11.9</v>
      </c>
      <c r="E32" s="17" t="str">
        <f aca="false">Corpus!Q32</f>
        <v>Minimal (measured)</v>
      </c>
      <c r="F32" s="14" t="n">
        <f aca="false">IF(Corpus!R32="5x",Assumptions!$B$17,Assumptions!$B$19)</f>
        <v>0.36</v>
      </c>
      <c r="G32" s="14" t="n">
        <f aca="false">C32/(C32+D32)</f>
        <v>0.888157894736842</v>
      </c>
      <c r="H32" s="14" t="n">
        <f aca="false">IF(Corpus!Q32="None",1,Corpus!N32/Corpus!H32)</f>
        <v>0.731884057971015</v>
      </c>
      <c r="I32" s="14" t="n">
        <f aca="false">F32*G32*H32</f>
        <v>0.234010297482838</v>
      </c>
      <c r="J32" s="14" t="n">
        <f aca="false">B32*I32</f>
        <v>1.57649006410544</v>
      </c>
      <c r="K32" s="14" t="n">
        <f aca="false">J32*Assumptions!$B$9</f>
        <v>0.55650099262922</v>
      </c>
      <c r="L32" s="14" t="n">
        <f aca="false">J32*Assumptions!$B$10</f>
        <v>0.101210662115569</v>
      </c>
    </row>
    <row r="33" customFormat="false" ht="15.75" hidden="false" customHeight="true" outlineLevel="0" collapsed="false">
      <c r="A33" s="3" t="s">
        <v>95</v>
      </c>
      <c r="B33" s="15" t="n">
        <f aca="false">Table7!L33</f>
        <v>6.86899928255528</v>
      </c>
      <c r="C33" s="16" t="n">
        <f aca="false">Corpus!E33</f>
        <v>93.1</v>
      </c>
      <c r="D33" s="16" t="n">
        <f aca="false">Corpus!F33</f>
        <v>9.7</v>
      </c>
      <c r="E33" s="17" t="str">
        <f aca="false">Corpus!Q33</f>
        <v>Low</v>
      </c>
      <c r="F33" s="14" t="n">
        <f aca="false">IF(Corpus!R33="5x",Assumptions!$B$17,Assumptions!$B$19)</f>
        <v>0.36</v>
      </c>
      <c r="G33" s="14" t="n">
        <f aca="false">C33/(C33+D33)</f>
        <v>0.905642023346304</v>
      </c>
      <c r="H33" s="14" t="n">
        <f aca="false">IF(Corpus!Q33="None",1,Corpus!N33/Corpus!H33)</f>
        <v>0.742647058823529</v>
      </c>
      <c r="I33" s="14" t="n">
        <f aca="false">F33*G33*H33</f>
        <v>0.242126058594644</v>
      </c>
      <c r="J33" s="14" t="n">
        <f aca="false">B33*I33</f>
        <v>1.66316372277455</v>
      </c>
      <c r="K33" s="14" t="n">
        <f aca="false">J33*Assumptions!$B$9</f>
        <v>0.587096794139416</v>
      </c>
      <c r="L33" s="14" t="n">
        <f aca="false">J33*Assumptions!$B$10</f>
        <v>0.106775111002126</v>
      </c>
    </row>
    <row r="34" customFormat="false" ht="15.75" hidden="false" customHeight="true" outlineLevel="0" collapsed="false">
      <c r="A34" s="3" t="s">
        <v>96</v>
      </c>
      <c r="B34" s="15" t="n">
        <f aca="false">Table7!L34</f>
        <v>6.82832611907021</v>
      </c>
      <c r="C34" s="16" t="n">
        <f aca="false">Corpus!E34</f>
        <v>93.5</v>
      </c>
      <c r="D34" s="16" t="n">
        <f aca="false">Corpus!F34</f>
        <v>9.1</v>
      </c>
      <c r="E34" s="17" t="str">
        <f aca="false">Corpus!Q34</f>
        <v>Medium</v>
      </c>
      <c r="F34" s="14" t="n">
        <f aca="false">IF(Corpus!R34="5x",Assumptions!$B$17,Assumptions!$B$19)</f>
        <v>0.36</v>
      </c>
      <c r="G34" s="14" t="n">
        <f aca="false">C34/(C34+D34)</f>
        <v>0.91130604288499</v>
      </c>
      <c r="H34" s="14" t="n">
        <f aca="false">IF(Corpus!Q34="None",1,Corpus!N34/Corpus!H34)</f>
        <v>0.737226277372263</v>
      </c>
      <c r="I34" s="14" t="n">
        <f aca="false">F34*G34*H34</f>
        <v>0.241861954155462</v>
      </c>
      <c r="J34" s="14" t="n">
        <f aca="false">B34*I34</f>
        <v>1.6515122987691</v>
      </c>
      <c r="K34" s="14" t="n">
        <f aca="false">J34*Assumptions!$B$9</f>
        <v>0.582983841465493</v>
      </c>
      <c r="L34" s="14" t="n">
        <f aca="false">J34*Assumptions!$B$10</f>
        <v>0.106027089580976</v>
      </c>
    </row>
    <row r="35" customFormat="false" ht="15.75" hidden="false" customHeight="true" outlineLevel="0" collapsed="false">
      <c r="A35" s="3" t="s">
        <v>97</v>
      </c>
      <c r="B35" s="15" t="n">
        <f aca="false">Table7!L35</f>
        <v>7.17712477151382</v>
      </c>
      <c r="C35" s="16" t="n">
        <f aca="false">Corpus!E35</f>
        <v>94</v>
      </c>
      <c r="D35" s="16" t="n">
        <f aca="false">Corpus!F35</f>
        <v>9.7</v>
      </c>
      <c r="E35" s="17" t="str">
        <f aca="false">Corpus!Q35</f>
        <v>High</v>
      </c>
      <c r="F35" s="14" t="n">
        <f aca="false">IF(Corpus!R35="5x",Assumptions!$B$17,Assumptions!$B$19)</f>
        <v>0.36</v>
      </c>
      <c r="G35" s="14" t="n">
        <f aca="false">C35/(C35+D35)</f>
        <v>0.906460945033751</v>
      </c>
      <c r="H35" s="14" t="n">
        <f aca="false">IF(Corpus!Q35="None",1,Corpus!N35/Corpus!H35)</f>
        <v>0.703448275862069</v>
      </c>
      <c r="I35" s="14" t="n">
        <f aca="false">F35*G35*H35</f>
        <v>0.229553420011306</v>
      </c>
      <c r="J35" s="14" t="n">
        <f aca="false">B35*I35</f>
        <v>1.64753353714886</v>
      </c>
      <c r="K35" s="14" t="n">
        <f aca="false">J35*Assumptions!$B$9</f>
        <v>0.581579338613547</v>
      </c>
      <c r="L35" s="14" t="n">
        <f aca="false">J35*Assumptions!$B$10</f>
        <v>0.105771653084957</v>
      </c>
    </row>
    <row r="36" customFormat="false" ht="15.75" hidden="false" customHeight="true" outlineLevel="0" collapsed="false">
      <c r="A36" s="3" t="s">
        <v>98</v>
      </c>
      <c r="B36" s="15" t="n">
        <f aca="false">Table7!L36</f>
        <v>8.34176426086957</v>
      </c>
      <c r="C36" s="16" t="n">
        <f aca="false">Corpus!E36</f>
        <v>94.7</v>
      </c>
      <c r="D36" s="16" t="n">
        <f aca="false">Corpus!F36</f>
        <v>8.4</v>
      </c>
      <c r="E36" s="17" t="str">
        <f aca="false">Corpus!Q36</f>
        <v>xHigh</v>
      </c>
      <c r="F36" s="14" t="n">
        <f aca="false">IF(Corpus!R36="5x",Assumptions!$B$17,Assumptions!$B$19)</f>
        <v>0.36</v>
      </c>
      <c r="G36" s="14" t="n">
        <f aca="false">C36/(C36+D36)</f>
        <v>0.918525703200776</v>
      </c>
      <c r="H36" s="14" t="n">
        <f aca="false">IF(Corpus!Q36="None",1,Corpus!N36/Corpus!H36)</f>
        <v>0.642857142857143</v>
      </c>
      <c r="I36" s="14" t="n">
        <f aca="false">F36*G36*H36</f>
        <v>0.21257309131218</v>
      </c>
      <c r="J36" s="14" t="n">
        <f aca="false">B36*I36</f>
        <v>1.7732346159305</v>
      </c>
      <c r="K36" s="14" t="n">
        <f aca="false">J36*Assumptions!$B$9</f>
        <v>0.625951819423467</v>
      </c>
      <c r="L36" s="14" t="n">
        <f aca="false">J36*Assumptions!$B$10</f>
        <v>0.113841662342738</v>
      </c>
    </row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9"/>
    <col collapsed="false" customWidth="true" hidden="false" outlineLevel="0" max="5" min="5" style="1" width="18"/>
    <col collapsed="false" customWidth="true" hidden="false" outlineLevel="0" max="7" min="6" style="1" width="10"/>
    <col collapsed="false" customWidth="true" hidden="false" outlineLevel="0" max="8" min="8" style="1" width="8"/>
    <col collapsed="false" customWidth="true" hidden="false" outlineLevel="0" max="9" min="9" style="1" width="12"/>
    <col collapsed="false" customWidth="true" hidden="false" outlineLevel="0" max="10" min="10" style="1" width="10"/>
    <col collapsed="false" customWidth="true" hidden="false" outlineLevel="0" max="12" min="11" style="1" width="20"/>
    <col collapsed="false" customWidth="true" hidden="false" outlineLevel="0" max="26" min="13" style="1" width="8.71"/>
  </cols>
  <sheetData>
    <row r="1" customFormat="false" ht="15" hidden="false" customHeight="true" outlineLevel="0" collapsed="false">
      <c r="A1" s="2" t="s">
        <v>129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15" hidden="false" customHeight="true" outlineLevel="0" collapsed="false">
      <c r="A2" s="2" t="s">
        <v>100</v>
      </c>
      <c r="B2" s="2" t="s">
        <v>119</v>
      </c>
      <c r="C2" s="2" t="s">
        <v>120</v>
      </c>
      <c r="D2" s="2" t="s">
        <v>121</v>
      </c>
      <c r="E2" s="2" t="s">
        <v>109</v>
      </c>
      <c r="F2" s="2" t="s">
        <v>130</v>
      </c>
      <c r="G2" s="2" t="s">
        <v>131</v>
      </c>
      <c r="H2" s="2" t="s">
        <v>132</v>
      </c>
      <c r="I2" s="2" t="s">
        <v>125</v>
      </c>
      <c r="J2" s="2" t="s">
        <v>133</v>
      </c>
      <c r="K2" s="2" t="s">
        <v>127</v>
      </c>
      <c r="L2" s="2" t="s">
        <v>128</v>
      </c>
    </row>
    <row r="3" customFormat="false" ht="15" hidden="false" customHeight="true" outlineLevel="0" collapsed="false">
      <c r="A3" s="3" t="s">
        <v>52</v>
      </c>
      <c r="B3" s="15" t="n">
        <f aca="false">Table7!L3</f>
        <v>2.0195</v>
      </c>
      <c r="C3" s="16" t="n">
        <f aca="false">Corpus!E3</f>
        <v>80.1</v>
      </c>
      <c r="D3" s="16" t="n">
        <f aca="false">Corpus!F3</f>
        <v>23.9</v>
      </c>
      <c r="E3" s="17" t="str">
        <f aca="false">Corpus!Q3</f>
        <v>None</v>
      </c>
      <c r="F3" s="14" t="n">
        <f aca="false">IF(Corpus!R3="5x",Assumptions!$B$18,Assumptions!$B$20)</f>
        <v>1.03</v>
      </c>
      <c r="G3" s="14" t="n">
        <f aca="false">C3/(C3-D3)</f>
        <v>1.42526690391459</v>
      </c>
      <c r="H3" s="14" t="n">
        <f aca="false">IF(Corpus!Q3="None",1,IF(Corpus!J3="",1,Corpus!J3/Corpus!H3))</f>
        <v>1</v>
      </c>
      <c r="I3" s="14" t="n">
        <f aca="false">F3*G3*H3</f>
        <v>1.46802491103203</v>
      </c>
      <c r="J3" s="14" t="n">
        <f aca="false">B3*I3</f>
        <v>2.96467630782918</v>
      </c>
      <c r="K3" s="14" t="n">
        <f aca="false">J3*Assumptions!$B$9</f>
        <v>1.0465307366637</v>
      </c>
      <c r="L3" s="14" t="n">
        <f aca="false">J3*Assumptions!$B$10</f>
        <v>0.190332218962633</v>
      </c>
    </row>
    <row r="4" customFormat="false" ht="15" hidden="false" customHeight="true" outlineLevel="0" collapsed="false">
      <c r="A4" s="3" t="s">
        <v>55</v>
      </c>
      <c r="B4" s="15" t="n">
        <f aca="false">Table7!L4</f>
        <v>41.93524062</v>
      </c>
      <c r="C4" s="16" t="n">
        <f aca="false">Corpus!E4</f>
        <v>68.1</v>
      </c>
      <c r="D4" s="16" t="n">
        <f aca="false">Corpus!F4</f>
        <v>15.7</v>
      </c>
      <c r="E4" s="17" t="str">
        <f aca="false">Corpus!Q4</f>
        <v>High</v>
      </c>
      <c r="F4" s="14" t="n">
        <f aca="false">IF(Corpus!R4="5x",Assumptions!$B$18,Assumptions!$B$20)</f>
        <v>1.52</v>
      </c>
      <c r="G4" s="14" t="n">
        <f aca="false">C4/(C4-D4)</f>
        <v>1.29961832061069</v>
      </c>
      <c r="H4" s="14" t="n">
        <f aca="false">IF(Corpus!Q4="None",1,IF(Corpus!J4="",1,Corpus!J4/Corpus!H4))</f>
        <v>1.48692810457516</v>
      </c>
      <c r="I4" s="14" t="n">
        <f aca="false">F4*G4*H4</f>
        <v>2.93730728932794</v>
      </c>
      <c r="J4" s="14" t="n">
        <f aca="false">B4*I4</f>
        <v>123.176687952847</v>
      </c>
      <c r="K4" s="14" t="n">
        <f aca="false">J4*Assumptions!$B$9</f>
        <v>43.4813708473551</v>
      </c>
      <c r="L4" s="14" t="n">
        <f aca="false">J4*Assumptions!$B$10</f>
        <v>7.9079433665728</v>
      </c>
    </row>
    <row r="5" customFormat="false" ht="15" hidden="false" customHeight="true" outlineLevel="0" collapsed="false">
      <c r="A5" s="3" t="s">
        <v>58</v>
      </c>
      <c r="B5" s="15" t="n">
        <f aca="false">Table7!L5</f>
        <v>28.6660841653193</v>
      </c>
      <c r="C5" s="16" t="n">
        <f aca="false">Corpus!E5</f>
        <v>63.8</v>
      </c>
      <c r="D5" s="16" t="n">
        <f aca="false">Corpus!F5</f>
        <v>16.7</v>
      </c>
      <c r="E5" s="17" t="str">
        <f aca="false">Corpus!Q5</f>
        <v>xHigh</v>
      </c>
      <c r="F5" s="14" t="n">
        <f aca="false">IF(Corpus!R5="5x",Assumptions!$B$18,Assumptions!$B$20)</f>
        <v>1.52</v>
      </c>
      <c r="G5" s="14" t="n">
        <f aca="false">C5/(C5-D5)</f>
        <v>1.35456475583864</v>
      </c>
      <c r="H5" s="14" t="n">
        <f aca="false">IF(Corpus!Q5="None",1,IF(Corpus!J5="",1,Corpus!J5/Corpus!H5))</f>
        <v>1.53866666666667</v>
      </c>
      <c r="I5" s="14" t="n">
        <f aca="false">F5*G5*H5</f>
        <v>3.16801992922859</v>
      </c>
      <c r="J5" s="14" t="n">
        <f aca="false">B5*I5</f>
        <v>90.8147259286758</v>
      </c>
      <c r="K5" s="14" t="n">
        <f aca="false">J5*Assumptions!$B$9</f>
        <v>32.0575982528226</v>
      </c>
      <c r="L5" s="14" t="n">
        <f aca="false">J5*Assumptions!$B$10</f>
        <v>5.83030540462099</v>
      </c>
    </row>
    <row r="6" customFormat="false" ht="15" hidden="false" customHeight="true" outlineLevel="0" collapsed="false">
      <c r="A6" s="3" t="s">
        <v>60</v>
      </c>
      <c r="B6" s="15" t="n">
        <f aca="false">Table7!L6</f>
        <v>7.84078410447761</v>
      </c>
      <c r="C6" s="16" t="n">
        <f aca="false">Corpus!E6</f>
        <v>59.6</v>
      </c>
      <c r="D6" s="16" t="n">
        <f aca="false">Corpus!F6</f>
        <v>6.4</v>
      </c>
      <c r="E6" s="17" t="str">
        <f aca="false">Corpus!Q6</f>
        <v>None</v>
      </c>
      <c r="F6" s="14" t="n">
        <f aca="false">IF(Corpus!R6="5x",Assumptions!$B$18,Assumptions!$B$20)</f>
        <v>1.52</v>
      </c>
      <c r="G6" s="14" t="n">
        <f aca="false">C6/(C6-D6)</f>
        <v>1.1203007518797</v>
      </c>
      <c r="H6" s="14" t="n">
        <f aca="false">IF(Corpus!Q6="None",1,IF(Corpus!J6="",1,Corpus!J6/Corpus!H6))</f>
        <v>1</v>
      </c>
      <c r="I6" s="14" t="n">
        <f aca="false">F6*G6*H6</f>
        <v>1.70285714285714</v>
      </c>
      <c r="J6" s="14" t="n">
        <f aca="false">B6*I6</f>
        <v>13.3517352179104</v>
      </c>
      <c r="K6" s="14" t="n">
        <f aca="false">J6*Assumptions!$B$9</f>
        <v>4.71316253192239</v>
      </c>
      <c r="L6" s="14" t="n">
        <f aca="false">J6*Assumptions!$B$10</f>
        <v>0.857181400989851</v>
      </c>
    </row>
    <row r="7" customFormat="false" ht="15" hidden="false" customHeight="true" outlineLevel="0" collapsed="false">
      <c r="A7" s="3" t="s">
        <v>62</v>
      </c>
      <c r="B7" s="15" t="n">
        <f aca="false">Table7!L7</f>
        <v>25.6341755586799</v>
      </c>
      <c r="C7" s="16" t="n">
        <f aca="false">Corpus!E7</f>
        <v>59.1</v>
      </c>
      <c r="D7" s="16" t="n">
        <f aca="false">Corpus!F7</f>
        <v>6.9</v>
      </c>
      <c r="E7" s="17" t="str">
        <f aca="false">Corpus!Q7</f>
        <v>xHigh</v>
      </c>
      <c r="F7" s="14" t="n">
        <f aca="false">IF(Corpus!R7="5x",Assumptions!$B$18,Assumptions!$B$20)</f>
        <v>1.52</v>
      </c>
      <c r="G7" s="14" t="n">
        <f aca="false">C7/(C7-D7)</f>
        <v>1.13218390804598</v>
      </c>
      <c r="H7" s="14" t="n">
        <f aca="false">IF(Corpus!Q7="None",1,IF(Corpus!J7="",1,Corpus!J7/Corpus!H7))</f>
        <v>1.11490683229814</v>
      </c>
      <c r="I7" s="14" t="n">
        <f aca="false">F7*G7*H7</f>
        <v>1.91866495323767</v>
      </c>
      <c r="J7" s="14" t="n">
        <f aca="false">B7*I7</f>
        <v>49.1833942495807</v>
      </c>
      <c r="K7" s="14" t="n">
        <f aca="false">J7*Assumptions!$B$9</f>
        <v>17.361738170102</v>
      </c>
      <c r="L7" s="14" t="n">
        <f aca="false">J7*Assumptions!$B$10</f>
        <v>3.15757391082308</v>
      </c>
    </row>
    <row r="8" customFormat="false" ht="15" hidden="false" customHeight="true" outlineLevel="0" collapsed="false">
      <c r="A8" s="3" t="s">
        <v>63</v>
      </c>
      <c r="B8" s="15" t="n">
        <f aca="false">Table7!L8</f>
        <v>3.01953813705454</v>
      </c>
      <c r="C8" s="16" t="n">
        <f aca="false">Corpus!E8</f>
        <v>156.6</v>
      </c>
      <c r="D8" s="16" t="n">
        <f aca="false">Corpus!F8</f>
        <v>18.7</v>
      </c>
      <c r="E8" s="17" t="str">
        <f aca="false">Corpus!Q8</f>
        <v>None</v>
      </c>
      <c r="F8" s="14" t="n">
        <f aca="false">IF(Corpus!R8="5x",Assumptions!$B$18,Assumptions!$B$20)</f>
        <v>1.52</v>
      </c>
      <c r="G8" s="14" t="n">
        <f aca="false">C8/(C8-D8)</f>
        <v>1.13560551124003</v>
      </c>
      <c r="H8" s="14" t="n">
        <f aca="false">IF(Corpus!Q8="None",1,IF(Corpus!J8="",1,Corpus!J8/Corpus!H8))</f>
        <v>1</v>
      </c>
      <c r="I8" s="14" t="n">
        <f aca="false">F8*G8*H8</f>
        <v>1.72612037708484</v>
      </c>
      <c r="J8" s="14" t="n">
        <f aca="false">B8*I8</f>
        <v>5.21208630775465</v>
      </c>
      <c r="K8" s="14" t="n">
        <f aca="false">J8*Assumptions!$B$9</f>
        <v>1.83986646663739</v>
      </c>
      <c r="L8" s="14" t="n">
        <f aca="false">J8*Assumptions!$B$10</f>
        <v>0.334615940957849</v>
      </c>
    </row>
    <row r="9" customFormat="false" ht="15" hidden="false" customHeight="true" outlineLevel="0" collapsed="false">
      <c r="A9" s="3" t="s">
        <v>65</v>
      </c>
      <c r="B9" s="15" t="n">
        <f aca="false">Table7!L9</f>
        <v>5.54629926375</v>
      </c>
      <c r="C9" s="16" t="n">
        <f aca="false">Corpus!E9</f>
        <v>152.3</v>
      </c>
      <c r="D9" s="16" t="n">
        <f aca="false">Corpus!F9</f>
        <v>22.1</v>
      </c>
      <c r="E9" s="17" t="str">
        <f aca="false">Corpus!Q9</f>
        <v>Medium</v>
      </c>
      <c r="F9" s="14" t="n">
        <f aca="false">IF(Corpus!R9="5x",Assumptions!$B$18,Assumptions!$B$20)</f>
        <v>1.52</v>
      </c>
      <c r="G9" s="14" t="n">
        <f aca="false">C9/(C9-D9)</f>
        <v>1.16973886328725</v>
      </c>
      <c r="H9" s="14" t="n">
        <f aca="false">IF(Corpus!Q9="None",1,IF(Corpus!J9="",1,Corpus!J9/Corpus!H9))</f>
        <v>1.08196721311475</v>
      </c>
      <c r="I9" s="14" t="n">
        <f aca="false">F9*G9*H9</f>
        <v>1.92374102893405</v>
      </c>
      <c r="J9" s="14" t="n">
        <f aca="false">B9*I9</f>
        <v>10.6696434524226</v>
      </c>
      <c r="K9" s="14" t="n">
        <f aca="false">J9*Assumptions!$B$9</f>
        <v>3.76638413870517</v>
      </c>
      <c r="L9" s="14" t="n">
        <f aca="false">J9*Assumptions!$B$10</f>
        <v>0.68499110964553</v>
      </c>
    </row>
    <row r="10" customFormat="false" ht="15" hidden="false" customHeight="true" outlineLevel="0" collapsed="false">
      <c r="A10" s="3" t="s">
        <v>67</v>
      </c>
      <c r="B10" s="15" t="n">
        <f aca="false">Table7!L10</f>
        <v>11.3322364549459</v>
      </c>
      <c r="C10" s="16" t="n">
        <f aca="false">Corpus!E10</f>
        <v>153.7</v>
      </c>
      <c r="D10" s="16" t="n">
        <f aca="false">Corpus!F10</f>
        <v>19.8</v>
      </c>
      <c r="E10" s="17" t="str">
        <f aca="false">Corpus!Q10</f>
        <v>xHigh</v>
      </c>
      <c r="F10" s="14" t="n">
        <f aca="false">IF(Corpus!R10="5x",Assumptions!$B$18,Assumptions!$B$20)</f>
        <v>1.52</v>
      </c>
      <c r="G10" s="14" t="n">
        <f aca="false">C10/(C10-D10)</f>
        <v>1.1478715459298</v>
      </c>
      <c r="H10" s="14" t="n">
        <f aca="false">IF(Corpus!Q10="None",1,IF(Corpus!J10="",1,Corpus!J10/Corpus!H10))</f>
        <v>1.10810810810811</v>
      </c>
      <c r="I10" s="14" t="n">
        <f aca="false">F10*G10*H10</f>
        <v>1.93338796600933</v>
      </c>
      <c r="J10" s="14" t="n">
        <f aca="false">B10*I10</f>
        <v>21.9096095899646</v>
      </c>
      <c r="K10" s="14" t="n">
        <f aca="false">J10*Assumptions!$B$9</f>
        <v>7.7340921852575</v>
      </c>
      <c r="L10" s="14" t="n">
        <f aca="false">J10*Assumptions!$B$10</f>
        <v>1.40659693567573</v>
      </c>
    </row>
    <row r="11" customFormat="false" ht="15" hidden="false" customHeight="true" outlineLevel="0" collapsed="false">
      <c r="A11" s="3" t="s">
        <v>68</v>
      </c>
      <c r="B11" s="15" t="n">
        <f aca="false">Table7!L11</f>
        <v>3.251490829379</v>
      </c>
      <c r="C11" s="16" t="n">
        <f aca="false">Corpus!E11</f>
        <v>140.5</v>
      </c>
      <c r="D11" s="16" t="n">
        <f aca="false">Corpus!F11</f>
        <v>18.1</v>
      </c>
      <c r="E11" s="17" t="str">
        <f aca="false">Corpus!Q11</f>
        <v>None</v>
      </c>
      <c r="F11" s="14" t="n">
        <f aca="false">IF(Corpus!R11="5x",Assumptions!$B$18,Assumptions!$B$20)</f>
        <v>1.52</v>
      </c>
      <c r="G11" s="14" t="n">
        <f aca="false">C11/(C11-D11)</f>
        <v>1.14787581699346</v>
      </c>
      <c r="H11" s="14" t="n">
        <f aca="false">IF(Corpus!Q11="None",1,IF(Corpus!J11="",1,Corpus!J11/Corpus!H11))</f>
        <v>1</v>
      </c>
      <c r="I11" s="14" t="n">
        <f aca="false">F11*G11*H11</f>
        <v>1.74477124183007</v>
      </c>
      <c r="J11" s="14" t="n">
        <f aca="false">B11*I11</f>
        <v>5.67310769217466</v>
      </c>
      <c r="K11" s="14" t="n">
        <f aca="false">J11*Assumptions!$B$9</f>
        <v>2.00260701533766</v>
      </c>
      <c r="L11" s="14" t="n">
        <f aca="false">J11*Assumptions!$B$10</f>
        <v>0.364213513837613</v>
      </c>
    </row>
    <row r="12" customFormat="false" ht="15" hidden="false" customHeight="true" outlineLevel="0" collapsed="false">
      <c r="A12" s="3" t="s">
        <v>70</v>
      </c>
      <c r="B12" s="15" t="n">
        <f aca="false">Table7!L12</f>
        <v>5.61455450547536</v>
      </c>
      <c r="C12" s="16" t="n">
        <f aca="false">Corpus!E12</f>
        <v>136.7</v>
      </c>
      <c r="D12" s="16" t="n">
        <f aca="false">Corpus!F12</f>
        <v>15.2</v>
      </c>
      <c r="E12" s="17" t="str">
        <f aca="false">Corpus!Q12</f>
        <v>Medium</v>
      </c>
      <c r="F12" s="14" t="n">
        <f aca="false">IF(Corpus!R12="5x",Assumptions!$B$18,Assumptions!$B$20)</f>
        <v>1.52</v>
      </c>
      <c r="G12" s="14" t="n">
        <f aca="false">C12/(C12-D12)</f>
        <v>1.12510288065844</v>
      </c>
      <c r="H12" s="14" t="n">
        <f aca="false">IF(Corpus!Q12="None",1,IF(Corpus!J12="",1,Corpus!J12/Corpus!H12))</f>
        <v>1.06586826347305</v>
      </c>
      <c r="I12" s="14" t="n">
        <f aca="false">F12*G12*H12</f>
        <v>1.82280140952663</v>
      </c>
      <c r="J12" s="14" t="n">
        <f aca="false">B12*I12</f>
        <v>10.2342178664446</v>
      </c>
      <c r="K12" s="14" t="n">
        <f aca="false">J12*Assumptions!$B$9</f>
        <v>3.61267890685493</v>
      </c>
      <c r="L12" s="14" t="n">
        <f aca="false">J12*Assumptions!$B$10</f>
        <v>0.65703678702574</v>
      </c>
    </row>
    <row r="13" customFormat="false" ht="15" hidden="false" customHeight="true" outlineLevel="0" collapsed="false">
      <c r="A13" s="3" t="s">
        <v>71</v>
      </c>
      <c r="B13" s="15" t="n">
        <f aca="false">Table7!L13</f>
        <v>42.1945304727329</v>
      </c>
      <c r="C13" s="16" t="n">
        <f aca="false">Corpus!E13</f>
        <v>139.2</v>
      </c>
      <c r="D13" s="16" t="n">
        <f aca="false">Corpus!F13</f>
        <v>24.5</v>
      </c>
      <c r="E13" s="17" t="str">
        <f aca="false">Corpus!Q13</f>
        <v>xHigh</v>
      </c>
      <c r="F13" s="14" t="n">
        <f aca="false">IF(Corpus!R13="5x",Assumptions!$B$18,Assumptions!$B$20)</f>
        <v>1.52</v>
      </c>
      <c r="G13" s="14" t="n">
        <f aca="false">C13/(C13-D13)</f>
        <v>1.21360069747167</v>
      </c>
      <c r="H13" s="14" t="n">
        <f aca="false">IF(Corpus!Q13="None",1,IF(Corpus!J13="",1,Corpus!J13/Corpus!H13))</f>
        <v>0.960799385088394</v>
      </c>
      <c r="I13" s="14" t="n">
        <f aca="false">F13*G13*H13</f>
        <v>1.7723607418879</v>
      </c>
      <c r="J13" s="14" t="n">
        <f aca="false">B13*I13</f>
        <v>74.7839293322647</v>
      </c>
      <c r="K13" s="14" t="n">
        <f aca="false">J13*Assumptions!$B$9</f>
        <v>26.3987270542894</v>
      </c>
      <c r="L13" s="14" t="n">
        <f aca="false">J13*Assumptions!$B$10</f>
        <v>4.80112826313139</v>
      </c>
    </row>
    <row r="14" customFormat="false" ht="15" hidden="false" customHeight="true" outlineLevel="0" collapsed="false">
      <c r="A14" s="3" t="s">
        <v>72</v>
      </c>
      <c r="B14" s="15" t="n">
        <f aca="false">Table7!L14</f>
        <v>5.50150432278334</v>
      </c>
      <c r="C14" s="16" t="n">
        <f aca="false">Corpus!E14</f>
        <v>86</v>
      </c>
      <c r="D14" s="16" t="n">
        <f aca="false">Corpus!F14</f>
        <v>12.7</v>
      </c>
      <c r="E14" s="17" t="str">
        <f aca="false">Corpus!Q14</f>
        <v>None</v>
      </c>
      <c r="F14" s="14" t="n">
        <f aca="false">IF(Corpus!R14="5x",Assumptions!$B$18,Assumptions!$B$20)</f>
        <v>1.52</v>
      </c>
      <c r="G14" s="14" t="n">
        <f aca="false">C14/(C14-D14)</f>
        <v>1.17326057298772</v>
      </c>
      <c r="H14" s="14" t="n">
        <f aca="false">IF(Corpus!Q14="None",1,IF(Corpus!J14="",1,Corpus!J14/Corpus!H14))</f>
        <v>1</v>
      </c>
      <c r="I14" s="14" t="n">
        <f aca="false">F14*G14*H14</f>
        <v>1.78335607094134</v>
      </c>
      <c r="J14" s="14" t="n">
        <f aca="false">B14*I14</f>
        <v>9.81114113334567</v>
      </c>
      <c r="K14" s="14" t="n">
        <f aca="false">J14*Assumptions!$B$9</f>
        <v>3.46333282007102</v>
      </c>
      <c r="L14" s="14" t="n">
        <f aca="false">J14*Assumptions!$B$10</f>
        <v>0.629875260760792</v>
      </c>
    </row>
    <row r="15" customFormat="false" ht="15" hidden="false" customHeight="true" outlineLevel="0" collapsed="false">
      <c r="A15" s="3" t="s">
        <v>74</v>
      </c>
      <c r="B15" s="15" t="n">
        <f aca="false">Table7!L15</f>
        <v>19.327335067623</v>
      </c>
      <c r="C15" s="16" t="n">
        <f aca="false">Corpus!E15</f>
        <v>95.6</v>
      </c>
      <c r="D15" s="16" t="n">
        <f aca="false">Corpus!F15</f>
        <v>10.1</v>
      </c>
      <c r="E15" s="17" t="str">
        <f aca="false">Corpus!Q15</f>
        <v>xHigh</v>
      </c>
      <c r="F15" s="14" t="n">
        <f aca="false">IF(Corpus!R15="5x",Assumptions!$B$18,Assumptions!$B$20)</f>
        <v>1.52</v>
      </c>
      <c r="G15" s="14" t="n">
        <f aca="false">C15/(C15-D15)</f>
        <v>1.11812865497076</v>
      </c>
      <c r="H15" s="14" t="n">
        <f aca="false">IF(Corpus!Q15="None",1,IF(Corpus!J15="",1,Corpus!J15/Corpus!H15))</f>
        <v>1.04113110539846</v>
      </c>
      <c r="I15" s="14" t="n">
        <f aca="false">F15*G15*H15</f>
        <v>1.76946015424164</v>
      </c>
      <c r="J15" s="14" t="n">
        <f aca="false">B15*I15</f>
        <v>34.1989492898361</v>
      </c>
      <c r="K15" s="14" t="n">
        <f aca="false">J15*Assumptions!$B$9</f>
        <v>12.0722290993121</v>
      </c>
      <c r="L15" s="14" t="n">
        <f aca="false">J15*Assumptions!$B$10</f>
        <v>2.19557254440748</v>
      </c>
    </row>
    <row r="16" customFormat="false" ht="15" hidden="false" customHeight="true" outlineLevel="0" collapsed="false">
      <c r="A16" s="3" t="s">
        <v>75</v>
      </c>
      <c r="B16" s="15" t="n">
        <f aca="false">Table7!L16</f>
        <v>13.5017830889279</v>
      </c>
      <c r="C16" s="16" t="n">
        <f aca="false">Corpus!E16</f>
        <v>60.9</v>
      </c>
      <c r="D16" s="16" t="n">
        <f aca="false">Corpus!F16</f>
        <v>9.2</v>
      </c>
      <c r="E16" s="17" t="str">
        <f aca="false">Corpus!Q16</f>
        <v>Minimal (measured)</v>
      </c>
      <c r="F16" s="14" t="n">
        <f aca="false">IF(Corpus!R16="5x",Assumptions!$B$18,Assumptions!$B$20)</f>
        <v>1.52</v>
      </c>
      <c r="G16" s="14" t="n">
        <f aca="false">C16/(C16-D16)</f>
        <v>1.1779497098646</v>
      </c>
      <c r="H16" s="14" t="n">
        <f aca="false">IF(Corpus!Q16="None",1,IF(Corpus!J16="",1,Corpus!J16/Corpus!H16))</f>
        <v>1.21052631578947</v>
      </c>
      <c r="I16" s="14" t="n">
        <f aca="false">F16*G16*H16</f>
        <v>2.16742746615087</v>
      </c>
      <c r="J16" s="14" t="n">
        <f aca="false">B16*I16</f>
        <v>29.2641355089536</v>
      </c>
      <c r="K16" s="14" t="n">
        <f aca="false">J16*Assumptions!$B$9</f>
        <v>10.3302398346606</v>
      </c>
      <c r="L16" s="14" t="n">
        <f aca="false">J16*Assumptions!$B$10</f>
        <v>1.87875749967482</v>
      </c>
    </row>
    <row r="17" customFormat="false" ht="15" hidden="false" customHeight="true" outlineLevel="0" collapsed="false">
      <c r="A17" s="3" t="s">
        <v>77</v>
      </c>
      <c r="B17" s="15" t="n">
        <f aca="false">Table7!L17</f>
        <v>11.1690934860704</v>
      </c>
      <c r="C17" s="16" t="n">
        <f aca="false">Corpus!E17</f>
        <v>61.2</v>
      </c>
      <c r="D17" s="16" t="n">
        <f aca="false">Corpus!F17</f>
        <v>8.6</v>
      </c>
      <c r="E17" s="17" t="str">
        <f aca="false">Corpus!Q17</f>
        <v>Low</v>
      </c>
      <c r="F17" s="14" t="n">
        <f aca="false">IF(Corpus!R17="5x",Assumptions!$B$18,Assumptions!$B$20)</f>
        <v>1.52</v>
      </c>
      <c r="G17" s="14" t="n">
        <f aca="false">C17/(C17-D17)</f>
        <v>1.16349809885932</v>
      </c>
      <c r="H17" s="14" t="n">
        <f aca="false">IF(Corpus!Q17="None",1,IF(Corpus!J17="",1,Corpus!J17/Corpus!H17))</f>
        <v>1.13103448275862</v>
      </c>
      <c r="I17" s="14" t="n">
        <f aca="false">F17*G17*H17</f>
        <v>2.00025383505966</v>
      </c>
      <c r="J17" s="14" t="n">
        <f aca="false">B17*I17</f>
        <v>22.3410220796521</v>
      </c>
      <c r="K17" s="14" t="n">
        <f aca="false">J17*Assumptions!$B$9</f>
        <v>7.88638079411719</v>
      </c>
      <c r="L17" s="14" t="n">
        <f aca="false">J17*Assumptions!$B$10</f>
        <v>1.43429361751367</v>
      </c>
    </row>
    <row r="18" customFormat="false" ht="15" hidden="false" customHeight="true" outlineLevel="0" collapsed="false">
      <c r="A18" s="3" t="s">
        <v>79</v>
      </c>
      <c r="B18" s="15" t="n">
        <f aca="false">Table7!L18</f>
        <v>13.122528916653</v>
      </c>
      <c r="C18" s="16" t="n">
        <f aca="false">Corpus!E18</f>
        <v>61.4</v>
      </c>
      <c r="D18" s="16" t="n">
        <f aca="false">Corpus!F18</f>
        <v>9.1</v>
      </c>
      <c r="E18" s="17" t="str">
        <f aca="false">Corpus!Q18</f>
        <v>Medium</v>
      </c>
      <c r="F18" s="14" t="n">
        <f aca="false">IF(Corpus!R18="5x",Assumptions!$B$18,Assumptions!$B$20)</f>
        <v>1.52</v>
      </c>
      <c r="G18" s="14" t="n">
        <f aca="false">C18/(C18-D18)</f>
        <v>1.17399617590822</v>
      </c>
      <c r="H18" s="14" t="n">
        <f aca="false">IF(Corpus!Q18="None",1,IF(Corpus!J18="",1,Corpus!J18/Corpus!H18))</f>
        <v>1.18934911242604</v>
      </c>
      <c r="I18" s="14" t="n">
        <f aca="false">F18*G18*H18</f>
        <v>2.12236279090817</v>
      </c>
      <c r="J18" s="14" t="n">
        <f aca="false">B18*I18</f>
        <v>27.8507670953207</v>
      </c>
      <c r="K18" s="14" t="n">
        <f aca="false">J18*Assumptions!$B$9</f>
        <v>9.83132078464822</v>
      </c>
      <c r="L18" s="14" t="n">
        <f aca="false">J18*Assumptions!$B$10</f>
        <v>1.78801924751959</v>
      </c>
    </row>
    <row r="19" customFormat="false" ht="15" hidden="false" customHeight="true" outlineLevel="0" collapsed="false">
      <c r="A19" s="3" t="s">
        <v>80</v>
      </c>
      <c r="B19" s="15" t="n">
        <f aca="false">Table7!L19</f>
        <v>18.6190522785467</v>
      </c>
      <c r="C19" s="16" t="n">
        <f aca="false">Corpus!E19</f>
        <v>61.5</v>
      </c>
      <c r="D19" s="16" t="n">
        <f aca="false">Corpus!F19</f>
        <v>9</v>
      </c>
      <c r="E19" s="17" t="str">
        <f aca="false">Corpus!Q19</f>
        <v>High</v>
      </c>
      <c r="F19" s="14" t="n">
        <f aca="false">IF(Corpus!R19="5x",Assumptions!$B$18,Assumptions!$B$20)</f>
        <v>1.52</v>
      </c>
      <c r="G19" s="14" t="n">
        <f aca="false">C19/(C19-D19)</f>
        <v>1.17142857142857</v>
      </c>
      <c r="H19" s="14" t="n">
        <f aca="false">IF(Corpus!Q19="None",1,IF(Corpus!J19="",1,Corpus!J19/Corpus!H19))</f>
        <v>1.2510460251046</v>
      </c>
      <c r="I19" s="14" t="n">
        <f aca="false">F19*G19*H19</f>
        <v>2.22757680812911</v>
      </c>
      <c r="J19" s="14" t="n">
        <f aca="false">B19*I19</f>
        <v>41.4753690450341</v>
      </c>
      <c r="K19" s="14" t="n">
        <f aca="false">J19*Assumptions!$B$9</f>
        <v>14.640805272897</v>
      </c>
      <c r="L19" s="14" t="n">
        <f aca="false">J19*Assumptions!$B$10</f>
        <v>2.66271869269119</v>
      </c>
    </row>
    <row r="20" customFormat="false" ht="15" hidden="false" customHeight="true" outlineLevel="0" collapsed="false">
      <c r="A20" s="3" t="s">
        <v>81</v>
      </c>
      <c r="B20" s="15" t="n">
        <f aca="false">Table7!L20</f>
        <v>19.4138913785679</v>
      </c>
      <c r="C20" s="16" t="n">
        <f aca="false">Corpus!E20</f>
        <v>61.4</v>
      </c>
      <c r="D20" s="16" t="n">
        <f aca="false">Corpus!F20</f>
        <v>9.9</v>
      </c>
      <c r="E20" s="17" t="str">
        <f aca="false">Corpus!Q20</f>
        <v>xHigh</v>
      </c>
      <c r="F20" s="14" t="n">
        <f aca="false">IF(Corpus!R20="5x",Assumptions!$B$18,Assumptions!$B$20)</f>
        <v>1.52</v>
      </c>
      <c r="G20" s="14" t="n">
        <f aca="false">C20/(C20-D20)</f>
        <v>1.19223300970874</v>
      </c>
      <c r="H20" s="14" t="n">
        <f aca="false">IF(Corpus!Q20="None",1,IF(Corpus!J20="",1,Corpus!J20/Corpus!H20))</f>
        <v>1.43089430894309</v>
      </c>
      <c r="I20" s="14" t="n">
        <f aca="false">F20*G20*H20</f>
        <v>2.59305833136001</v>
      </c>
      <c r="J20" s="14" t="n">
        <f aca="false">B20*I20</f>
        <v>50.3413527833137</v>
      </c>
      <c r="K20" s="14" t="n">
        <f aca="false">J20*Assumptions!$B$9</f>
        <v>17.7704975325097</v>
      </c>
      <c r="L20" s="14" t="n">
        <f aca="false">J20*Assumptions!$B$10</f>
        <v>3.23191484868874</v>
      </c>
    </row>
    <row r="21" customFormat="false" ht="15.75" hidden="false" customHeight="true" outlineLevel="0" collapsed="false">
      <c r="A21" s="3" t="s">
        <v>82</v>
      </c>
      <c r="B21" s="15" t="n">
        <f aca="false">Table7!L21</f>
        <v>5.82354773210162</v>
      </c>
      <c r="C21" s="16" t="n">
        <f aca="false">Corpus!E21</f>
        <v>127.8</v>
      </c>
      <c r="D21" s="16" t="n">
        <f aca="false">Corpus!F21</f>
        <v>19.9</v>
      </c>
      <c r="E21" s="17" t="str">
        <f aca="false">Corpus!Q21</f>
        <v>Minimal (measured)</v>
      </c>
      <c r="F21" s="14" t="n">
        <f aca="false">IF(Corpus!R21="5x",Assumptions!$B$18,Assumptions!$B$20)</f>
        <v>1.52</v>
      </c>
      <c r="G21" s="14" t="n">
        <f aca="false">C21/(C21-D21)</f>
        <v>1.18443002780352</v>
      </c>
      <c r="H21" s="14" t="n">
        <f aca="false">IF(Corpus!Q21="None",1,IF(Corpus!J21="",1,Corpus!J21/Corpus!H21))</f>
        <v>1.275</v>
      </c>
      <c r="I21" s="14" t="n">
        <f aca="false">F21*G21*H21</f>
        <v>2.29542539388323</v>
      </c>
      <c r="J21" s="14" t="n">
        <f aca="false">B21*I21</f>
        <v>13.3675193467571</v>
      </c>
      <c r="K21" s="14" t="n">
        <f aca="false">J21*Assumptions!$B$9</f>
        <v>4.71873432940526</v>
      </c>
      <c r="L21" s="14" t="n">
        <f aca="false">J21*Assumptions!$B$10</f>
        <v>0.858194742061807</v>
      </c>
    </row>
    <row r="22" customFormat="false" ht="15.75" hidden="false" customHeight="true" outlineLevel="0" collapsed="false">
      <c r="A22" s="3" t="s">
        <v>83</v>
      </c>
      <c r="B22" s="15" t="n">
        <f aca="false">Table7!L22</f>
        <v>5.12781928361775</v>
      </c>
      <c r="C22" s="16" t="n">
        <f aca="false">Corpus!E22</f>
        <v>130</v>
      </c>
      <c r="D22" s="16" t="n">
        <f aca="false">Corpus!F22</f>
        <v>21.1</v>
      </c>
      <c r="E22" s="17" t="str">
        <f aca="false">Corpus!Q22</f>
        <v>Low</v>
      </c>
      <c r="F22" s="14" t="n">
        <f aca="false">IF(Corpus!R22="5x",Assumptions!$B$18,Assumptions!$B$20)</f>
        <v>1.52</v>
      </c>
      <c r="G22" s="14" t="n">
        <f aca="false">C22/(C22-D22)</f>
        <v>1.19375573921028</v>
      </c>
      <c r="H22" s="14" t="n">
        <f aca="false">IF(Corpus!Q22="None",1,IF(Corpus!J22="",1,Corpus!J22/Corpus!H22))</f>
        <v>1.20979020979021</v>
      </c>
      <c r="I22" s="14" t="n">
        <f aca="false">F22*G22*H22</f>
        <v>2.19517488938977</v>
      </c>
      <c r="J22" s="14" t="n">
        <f aca="false">B22*I22</f>
        <v>11.2564601287263</v>
      </c>
      <c r="K22" s="14" t="n">
        <f aca="false">J22*Assumptions!$B$9</f>
        <v>3.97353042544038</v>
      </c>
      <c r="L22" s="14" t="n">
        <f aca="false">J22*Assumptions!$B$10</f>
        <v>0.722664740264228</v>
      </c>
    </row>
    <row r="23" customFormat="false" ht="15.75" hidden="false" customHeight="true" outlineLevel="0" collapsed="false">
      <c r="A23" s="3" t="s">
        <v>84</v>
      </c>
      <c r="B23" s="15" t="n">
        <f aca="false">Table7!L23</f>
        <v>5.53719416477652</v>
      </c>
      <c r="C23" s="16" t="n">
        <f aca="false">Corpus!E23</f>
        <v>135.1</v>
      </c>
      <c r="D23" s="16" t="n">
        <f aca="false">Corpus!F23</f>
        <v>29.1</v>
      </c>
      <c r="E23" s="17" t="str">
        <f aca="false">Corpus!Q23</f>
        <v>Medium</v>
      </c>
      <c r="F23" s="14" t="n">
        <f aca="false">IF(Corpus!R23="5x",Assumptions!$B$18,Assumptions!$B$20)</f>
        <v>1.52</v>
      </c>
      <c r="G23" s="14" t="n">
        <f aca="false">C23/(C23-D23)</f>
        <v>1.27452830188679</v>
      </c>
      <c r="H23" s="14" t="n">
        <f aca="false">IF(Corpus!Q23="None",1,IF(Corpus!J23="",1,Corpus!J23/Corpus!H23))</f>
        <v>1.24683544303797</v>
      </c>
      <c r="I23" s="14" t="n">
        <f aca="false">F23*G23*H23</f>
        <v>2.41547313112013</v>
      </c>
      <c r="J23" s="14" t="n">
        <f aca="false">B23*I23</f>
        <v>13.3749437268129</v>
      </c>
      <c r="K23" s="14" t="n">
        <f aca="false">J23*Assumptions!$B$9</f>
        <v>4.72135513556494</v>
      </c>
      <c r="L23" s="14" t="n">
        <f aca="false">J23*Assumptions!$B$10</f>
        <v>0.858671387261386</v>
      </c>
    </row>
    <row r="24" customFormat="false" ht="15.75" hidden="false" customHeight="true" outlineLevel="0" collapsed="false">
      <c r="A24" s="3" t="s">
        <v>85</v>
      </c>
      <c r="B24" s="15" t="n">
        <f aca="false">Table7!L24</f>
        <v>7.45852231933594</v>
      </c>
      <c r="C24" s="16" t="n">
        <f aca="false">Corpus!E24</f>
        <v>131.4</v>
      </c>
      <c r="D24" s="16" t="n">
        <f aca="false">Corpus!F24</f>
        <v>17.8</v>
      </c>
      <c r="E24" s="17" t="str">
        <f aca="false">Corpus!Q24</f>
        <v>High</v>
      </c>
      <c r="F24" s="14" t="n">
        <f aca="false">IF(Corpus!R24="5x",Assumptions!$B$18,Assumptions!$B$20)</f>
        <v>1.52</v>
      </c>
      <c r="G24" s="14" t="n">
        <f aca="false">C24/(C24-D24)</f>
        <v>1.15669014084507</v>
      </c>
      <c r="H24" s="14" t="n">
        <f aca="false">IF(Corpus!Q24="None",1,IF(Corpus!J24="",1,Corpus!J24/Corpus!H24))</f>
        <v>1.13333333333333</v>
      </c>
      <c r="I24" s="14" t="n">
        <f aca="false">F24*G24*H24</f>
        <v>1.99259154929577</v>
      </c>
      <c r="J24" s="14" t="n">
        <f aca="false">B24*I24</f>
        <v>14.8617885437427</v>
      </c>
      <c r="K24" s="14" t="n">
        <f aca="false">J24*Assumptions!$B$9</f>
        <v>5.24621135594118</v>
      </c>
      <c r="L24" s="14" t="n">
        <f aca="false">J24*Assumptions!$B$10</f>
        <v>0.954126824508282</v>
      </c>
    </row>
    <row r="25" customFormat="false" ht="15.75" hidden="false" customHeight="true" outlineLevel="0" collapsed="false">
      <c r="A25" s="3" t="s">
        <v>86</v>
      </c>
      <c r="B25" s="15" t="n">
        <f aca="false">Table7!L25</f>
        <v>9.36883368870968</v>
      </c>
      <c r="C25" s="16" t="n">
        <f aca="false">Corpus!E25</f>
        <v>130.1</v>
      </c>
      <c r="D25" s="16" t="n">
        <f aca="false">Corpus!F25</f>
        <v>20.3</v>
      </c>
      <c r="E25" s="17" t="str">
        <f aca="false">Corpus!Q25</f>
        <v>xHigh</v>
      </c>
      <c r="F25" s="14" t="n">
        <f aca="false">IF(Corpus!R25="5x",Assumptions!$B$18,Assumptions!$B$20)</f>
        <v>1.52</v>
      </c>
      <c r="G25" s="14" t="n">
        <f aca="false">C25/(C25-D25)</f>
        <v>1.18488160291439</v>
      </c>
      <c r="H25" s="14" t="n">
        <f aca="false">IF(Corpus!Q25="None",1,IF(Corpus!J25="",1,Corpus!J25/Corpus!H25))</f>
        <v>1.32945736434109</v>
      </c>
      <c r="I25" s="14" t="n">
        <f aca="false">F25*G25*H25</f>
        <v>2.39437935075754</v>
      </c>
      <c r="J25" s="14" t="n">
        <f aca="false">B25*I25</f>
        <v>22.4325419249281</v>
      </c>
      <c r="K25" s="14" t="n">
        <f aca="false">J25*Assumptions!$B$9</f>
        <v>7.91868729949961</v>
      </c>
      <c r="L25" s="14" t="n">
        <f aca="false">J25*Assumptions!$B$10</f>
        <v>1.44016919158038</v>
      </c>
    </row>
    <row r="26" customFormat="false" ht="15.75" hidden="false" customHeight="true" outlineLevel="0" collapsed="false">
      <c r="A26" s="3" t="s">
        <v>87</v>
      </c>
      <c r="B26" s="15" t="n">
        <f aca="false">Table7!L26</f>
        <v>12.8677181130221</v>
      </c>
      <c r="C26" s="16" t="n">
        <f aca="false">Corpus!E26</f>
        <v>53.9</v>
      </c>
      <c r="D26" s="16" t="n">
        <f aca="false">Corpus!F26</f>
        <v>6.4</v>
      </c>
      <c r="E26" s="17" t="str">
        <f aca="false">Corpus!Q26</f>
        <v>Minimal (measured)</v>
      </c>
      <c r="F26" s="14" t="n">
        <f aca="false">IF(Corpus!R26="5x",Assumptions!$B$18,Assumptions!$B$20)</f>
        <v>1.52</v>
      </c>
      <c r="G26" s="14" t="n">
        <f aca="false">C26/(C26-D26)</f>
        <v>1.13473684210526</v>
      </c>
      <c r="H26" s="14" t="n">
        <f aca="false">IF(Corpus!Q26="None",1,IF(Corpus!J26="",1,Corpus!J26/Corpus!H26))</f>
        <v>1.25</v>
      </c>
      <c r="I26" s="14" t="n">
        <f aca="false">F26*G26*H26</f>
        <v>2.156</v>
      </c>
      <c r="J26" s="14" t="n">
        <f aca="false">B26*I26</f>
        <v>27.7428002516757</v>
      </c>
      <c r="K26" s="14" t="n">
        <f aca="false">J26*Assumptions!$B$9</f>
        <v>9.79320848884152</v>
      </c>
      <c r="L26" s="14" t="n">
        <f aca="false">J26*Assumptions!$B$10</f>
        <v>1.78108777615758</v>
      </c>
    </row>
    <row r="27" customFormat="false" ht="15.75" hidden="false" customHeight="true" outlineLevel="0" collapsed="false">
      <c r="A27" s="3" t="s">
        <v>88</v>
      </c>
      <c r="B27" s="15" t="n">
        <f aca="false">Table7!L27</f>
        <v>12.0031178428225</v>
      </c>
      <c r="C27" s="16" t="n">
        <f aca="false">Corpus!E27</f>
        <v>53.2</v>
      </c>
      <c r="D27" s="16" t="n">
        <f aca="false">Corpus!F27</f>
        <v>8.2</v>
      </c>
      <c r="E27" s="17" t="str">
        <f aca="false">Corpus!Q27</f>
        <v>Low</v>
      </c>
      <c r="F27" s="14" t="n">
        <f aca="false">IF(Corpus!R27="5x",Assumptions!$B$18,Assumptions!$B$20)</f>
        <v>1.52</v>
      </c>
      <c r="G27" s="14" t="n">
        <f aca="false">C27/(C27-D27)</f>
        <v>1.18222222222222</v>
      </c>
      <c r="H27" s="14" t="n">
        <f aca="false">IF(Corpus!Q27="None",1,IF(Corpus!J27="",1,Corpus!J27/Corpus!H27))</f>
        <v>1.19852941176471</v>
      </c>
      <c r="I27" s="14" t="n">
        <f aca="false">F27*G27*H27</f>
        <v>2.15373071895425</v>
      </c>
      <c r="J27" s="14" t="n">
        <f aca="false">B27*I27</f>
        <v>25.8514836213146</v>
      </c>
      <c r="K27" s="14" t="n">
        <f aca="false">J27*Assumptions!$B$9</f>
        <v>9.12557371832406</v>
      </c>
      <c r="L27" s="14" t="n">
        <f aca="false">J27*Assumptions!$B$10</f>
        <v>1.6596652484884</v>
      </c>
    </row>
    <row r="28" customFormat="false" ht="15.75" hidden="false" customHeight="true" outlineLevel="0" collapsed="false">
      <c r="A28" s="3" t="s">
        <v>89</v>
      </c>
      <c r="B28" s="15" t="n">
        <f aca="false">Table7!L28</f>
        <v>12.9570272894295</v>
      </c>
      <c r="C28" s="16" t="n">
        <f aca="false">Corpus!E28</f>
        <v>54.4</v>
      </c>
      <c r="D28" s="16" t="n">
        <f aca="false">Corpus!F28</f>
        <v>6.5</v>
      </c>
      <c r="E28" s="17" t="str">
        <f aca="false">Corpus!Q28</f>
        <v>Medium</v>
      </c>
      <c r="F28" s="14" t="n">
        <f aca="false">IF(Corpus!R28="5x",Assumptions!$B$18,Assumptions!$B$20)</f>
        <v>1.52</v>
      </c>
      <c r="G28" s="14" t="n">
        <f aca="false">C28/(C28-D28)</f>
        <v>1.1356993736952</v>
      </c>
      <c r="H28" s="14" t="n">
        <f aca="false">IF(Corpus!Q28="None",1,IF(Corpus!J28="",1,Corpus!J28/Corpus!H28))</f>
        <v>1.19727891156463</v>
      </c>
      <c r="I28" s="14" t="n">
        <f aca="false">F28*G28*H28</f>
        <v>2.06681834320367</v>
      </c>
      <c r="J28" s="14" t="n">
        <f aca="false">B28*I28</f>
        <v>26.7798216751835</v>
      </c>
      <c r="K28" s="14" t="n">
        <f aca="false">J28*Assumptions!$B$9</f>
        <v>9.45327705133977</v>
      </c>
      <c r="L28" s="14" t="n">
        <f aca="false">J28*Assumptions!$B$10</f>
        <v>1.71926455154678</v>
      </c>
    </row>
    <row r="29" customFormat="false" ht="15.75" hidden="false" customHeight="true" outlineLevel="0" collapsed="false">
      <c r="A29" s="3" t="s">
        <v>90</v>
      </c>
      <c r="B29" s="15" t="n">
        <f aca="false">Table7!L29</f>
        <v>14.4581544221518</v>
      </c>
      <c r="C29" s="16" t="n">
        <f aca="false">Corpus!E29</f>
        <v>53.5</v>
      </c>
      <c r="D29" s="16" t="n">
        <f aca="false">Corpus!F29</f>
        <v>6.6</v>
      </c>
      <c r="E29" s="17" t="str">
        <f aca="false">Corpus!Q29</f>
        <v>High</v>
      </c>
      <c r="F29" s="14" t="n">
        <f aca="false">IF(Corpus!R29="5x",Assumptions!$B$18,Assumptions!$B$20)</f>
        <v>1.52</v>
      </c>
      <c r="G29" s="14" t="n">
        <f aca="false">C29/(C29-D29)</f>
        <v>1.1407249466951</v>
      </c>
      <c r="H29" s="14" t="n">
        <f aca="false">IF(Corpus!Q29="None",1,IF(Corpus!J29="",1,Corpus!J29/Corpus!H29))</f>
        <v>1.24390243902439</v>
      </c>
      <c r="I29" s="14" t="n">
        <f aca="false">F29*G29*H29</f>
        <v>2.156804826044</v>
      </c>
      <c r="J29" s="14" t="n">
        <f aca="false">B29*I29</f>
        <v>31.1834172333863</v>
      </c>
      <c r="K29" s="14" t="n">
        <f aca="false">J29*Assumptions!$B$9</f>
        <v>11.0077462833854</v>
      </c>
      <c r="L29" s="14" t="n">
        <f aca="false">J29*Assumptions!$B$10</f>
        <v>2.0019753863834</v>
      </c>
    </row>
    <row r="30" customFormat="false" ht="15.75" hidden="false" customHeight="true" outlineLevel="0" collapsed="false">
      <c r="A30" s="3" t="s">
        <v>91</v>
      </c>
      <c r="B30" s="15" t="n">
        <f aca="false">Table7!L30</f>
        <v>16.356577208205</v>
      </c>
      <c r="C30" s="16" t="n">
        <f aca="false">Corpus!E30</f>
        <v>54.7</v>
      </c>
      <c r="D30" s="16" t="n">
        <f aca="false">Corpus!F30</f>
        <v>8.5</v>
      </c>
      <c r="E30" s="17" t="str">
        <f aca="false">Corpus!Q30</f>
        <v>xHigh</v>
      </c>
      <c r="F30" s="14" t="n">
        <f aca="false">IF(Corpus!R30="5x",Assumptions!$B$18,Assumptions!$B$20)</f>
        <v>1.52</v>
      </c>
      <c r="G30" s="14" t="n">
        <f aca="false">C30/(C30-D30)</f>
        <v>1.18398268398268</v>
      </c>
      <c r="H30" s="14" t="n">
        <f aca="false">IF(Corpus!Q30="None",1,IF(Corpus!J30="",1,Corpus!J30/Corpus!H30))</f>
        <v>1.1151832460733</v>
      </c>
      <c r="I30" s="14" t="n">
        <f aca="false">F30*G30*H30</f>
        <v>2.00694363228395</v>
      </c>
      <c r="J30" s="14" t="n">
        <f aca="false">B30*I30</f>
        <v>32.8267284739678</v>
      </c>
      <c r="K30" s="14" t="n">
        <f aca="false">J30*Assumptions!$B$9</f>
        <v>11.5878351513106</v>
      </c>
      <c r="L30" s="14" t="n">
        <f aca="false">J30*Assumptions!$B$10</f>
        <v>2.10747596802873</v>
      </c>
    </row>
    <row r="31" customFormat="false" ht="15.75" hidden="false" customHeight="true" outlineLevel="0" collapsed="false">
      <c r="A31" s="3" t="s">
        <v>92</v>
      </c>
      <c r="B31" s="15" t="n">
        <f aca="false">Table7!L31</f>
        <v>16.356577208205</v>
      </c>
      <c r="C31" s="16" t="n">
        <f aca="false">Corpus!E31</f>
        <v>54.7</v>
      </c>
      <c r="D31" s="16" t="n">
        <f aca="false">Corpus!F31</f>
        <v>8.5</v>
      </c>
      <c r="E31" s="17" t="str">
        <f aca="false">Corpus!Q31</f>
        <v>Max (floor)</v>
      </c>
      <c r="F31" s="14" t="n">
        <f aca="false">IF(Corpus!R31="5x",Assumptions!$B$18,Assumptions!$B$20)</f>
        <v>1.52</v>
      </c>
      <c r="G31" s="14" t="n">
        <f aca="false">C31/(C31-D31)</f>
        <v>1.18398268398268</v>
      </c>
      <c r="H31" s="14" t="n">
        <f aca="false">IF(Corpus!Q31="None",1,IF(Corpus!J31="",1,Corpus!J31/Corpus!H31))</f>
        <v>1.1151832460733</v>
      </c>
      <c r="I31" s="14" t="n">
        <f aca="false">F31*G31*H31</f>
        <v>2.00694363228395</v>
      </c>
      <c r="J31" s="14" t="n">
        <f aca="false">B31*I31</f>
        <v>32.8267284739678</v>
      </c>
      <c r="K31" s="14" t="n">
        <f aca="false">J31*Assumptions!$B$9</f>
        <v>11.5878351513106</v>
      </c>
      <c r="L31" s="14" t="n">
        <f aca="false">J31*Assumptions!$B$10</f>
        <v>2.10747596802873</v>
      </c>
    </row>
    <row r="32" customFormat="false" ht="15.75" hidden="false" customHeight="true" outlineLevel="0" collapsed="false">
      <c r="A32" s="3" t="s">
        <v>94</v>
      </c>
      <c r="B32" s="15" t="n">
        <f aca="false">Table7!L32</f>
        <v>6.73684056241611</v>
      </c>
      <c r="C32" s="16" t="n">
        <f aca="false">Corpus!E32</f>
        <v>94.5</v>
      </c>
      <c r="D32" s="16" t="n">
        <f aca="false">Corpus!F32</f>
        <v>11.9</v>
      </c>
      <c r="E32" s="17" t="str">
        <f aca="false">Corpus!Q32</f>
        <v>Minimal (measured)</v>
      </c>
      <c r="F32" s="14" t="n">
        <f aca="false">IF(Corpus!R32="5x",Assumptions!$B$18,Assumptions!$B$20)</f>
        <v>1.52</v>
      </c>
      <c r="G32" s="14" t="n">
        <f aca="false">C32/(C32-D32)</f>
        <v>1.14406779661017</v>
      </c>
      <c r="H32" s="14" t="n">
        <f aca="false">IF(Corpus!Q32="None",1,IF(Corpus!J32="",1,Corpus!J32/Corpus!H32))</f>
        <v>1.15942028985507</v>
      </c>
      <c r="I32" s="14" t="n">
        <f aca="false">F32*G32*H32</f>
        <v>2.01621223286662</v>
      </c>
      <c r="J32" s="14" t="n">
        <f aca="false">B32*I32</f>
        <v>13.5829003528154</v>
      </c>
      <c r="K32" s="14" t="n">
        <f aca="false">J32*Assumptions!$B$9</f>
        <v>4.79476382454383</v>
      </c>
      <c r="L32" s="14" t="n">
        <f aca="false">J32*Assumptions!$B$10</f>
        <v>0.872022202650748</v>
      </c>
    </row>
    <row r="33" customFormat="false" ht="15.75" hidden="false" customHeight="true" outlineLevel="0" collapsed="false">
      <c r="A33" s="3" t="s">
        <v>95</v>
      </c>
      <c r="B33" s="15" t="n">
        <f aca="false">Table7!L33</f>
        <v>6.86899928255528</v>
      </c>
      <c r="C33" s="16" t="n">
        <f aca="false">Corpus!E33</f>
        <v>93.1</v>
      </c>
      <c r="D33" s="16" t="n">
        <f aca="false">Corpus!F33</f>
        <v>9.7</v>
      </c>
      <c r="E33" s="17" t="str">
        <f aca="false">Corpus!Q33</f>
        <v>Low</v>
      </c>
      <c r="F33" s="14" t="n">
        <f aca="false">IF(Corpus!R33="5x",Assumptions!$B$18,Assumptions!$B$20)</f>
        <v>1.52</v>
      </c>
      <c r="G33" s="14" t="n">
        <f aca="false">C33/(C33-D33)</f>
        <v>1.11630695443645</v>
      </c>
      <c r="H33" s="14" t="n">
        <f aca="false">IF(Corpus!Q33="None",1,IF(Corpus!J33="",1,Corpus!J33/Corpus!H33))</f>
        <v>1.13235294117647</v>
      </c>
      <c r="I33" s="14" t="n">
        <f aca="false">F33*G33*H33</f>
        <v>1.92136126393003</v>
      </c>
      <c r="J33" s="14" t="n">
        <f aca="false">B33*I33</f>
        <v>13.1978291434649</v>
      </c>
      <c r="K33" s="14" t="n">
        <f aca="false">J33*Assumptions!$B$9</f>
        <v>4.65883368764311</v>
      </c>
      <c r="L33" s="14" t="n">
        <f aca="false">J33*Assumptions!$B$10</f>
        <v>0.847300631010447</v>
      </c>
    </row>
    <row r="34" customFormat="false" ht="15.75" hidden="false" customHeight="true" outlineLevel="0" collapsed="false">
      <c r="A34" s="3" t="s">
        <v>96</v>
      </c>
      <c r="B34" s="15" t="n">
        <f aca="false">Table7!L34</f>
        <v>6.82832611907021</v>
      </c>
      <c r="C34" s="16" t="n">
        <f aca="false">Corpus!E34</f>
        <v>93.5</v>
      </c>
      <c r="D34" s="16" t="n">
        <f aca="false">Corpus!F34</f>
        <v>9.1</v>
      </c>
      <c r="E34" s="17" t="str">
        <f aca="false">Corpus!Q34</f>
        <v>Medium</v>
      </c>
      <c r="F34" s="14" t="n">
        <f aca="false">IF(Corpus!R34="5x",Assumptions!$B$18,Assumptions!$B$20)</f>
        <v>1.52</v>
      </c>
      <c r="G34" s="14" t="n">
        <f aca="false">C34/(C34-D34)</f>
        <v>1.10781990521327</v>
      </c>
      <c r="H34" s="14" t="n">
        <f aca="false">IF(Corpus!Q34="None",1,IF(Corpus!J34="",1,Corpus!J34/Corpus!H34))</f>
        <v>1.18978102189781</v>
      </c>
      <c r="I34" s="14" t="n">
        <f aca="false">F34*G34*H34</f>
        <v>2.00345591033314</v>
      </c>
      <c r="J34" s="14" t="n">
        <f aca="false">B34*I34</f>
        <v>13.6802503209333</v>
      </c>
      <c r="K34" s="14" t="n">
        <f aca="false">J34*Assumptions!$B$9</f>
        <v>4.82912836328947</v>
      </c>
      <c r="L34" s="14" t="n">
        <f aca="false">J34*Assumptions!$B$10</f>
        <v>0.87827207060392</v>
      </c>
    </row>
    <row r="35" customFormat="false" ht="15.75" hidden="false" customHeight="true" outlineLevel="0" collapsed="false">
      <c r="A35" s="3" t="s">
        <v>97</v>
      </c>
      <c r="B35" s="15" t="n">
        <f aca="false">Table7!L35</f>
        <v>7.17712477151382</v>
      </c>
      <c r="C35" s="16" t="n">
        <f aca="false">Corpus!E35</f>
        <v>94</v>
      </c>
      <c r="D35" s="16" t="n">
        <f aca="false">Corpus!F35</f>
        <v>9.7</v>
      </c>
      <c r="E35" s="17" t="str">
        <f aca="false">Corpus!Q35</f>
        <v>High</v>
      </c>
      <c r="F35" s="14" t="n">
        <f aca="false">IF(Corpus!R35="5x",Assumptions!$B$18,Assumptions!$B$20)</f>
        <v>1.52</v>
      </c>
      <c r="G35" s="14" t="n">
        <f aca="false">C35/(C35-D35)</f>
        <v>1.11506524317912</v>
      </c>
      <c r="H35" s="14" t="n">
        <f aca="false">IF(Corpus!Q35="None",1,IF(Corpus!J35="",1,Corpus!J35/Corpus!H35))</f>
        <v>1.1448275862069</v>
      </c>
      <c r="I35" s="14" t="n">
        <f aca="false">F35*G35*H35</f>
        <v>1.94036732523418</v>
      </c>
      <c r="J35" s="14" t="n">
        <f aca="false">B35*I35</f>
        <v>13.9262583957742</v>
      </c>
      <c r="K35" s="14" t="n">
        <f aca="false">J35*Assumptions!$B$9</f>
        <v>4.91596921370831</v>
      </c>
      <c r="L35" s="14" t="n">
        <f aca="false">J35*Assumptions!$B$10</f>
        <v>0.894065789008707</v>
      </c>
    </row>
    <row r="36" customFormat="false" ht="15.75" hidden="false" customHeight="true" outlineLevel="0" collapsed="false">
      <c r="A36" s="3" t="s">
        <v>98</v>
      </c>
      <c r="B36" s="15" t="n">
        <f aca="false">Table7!L36</f>
        <v>8.34176426086957</v>
      </c>
      <c r="C36" s="16" t="n">
        <f aca="false">Corpus!E36</f>
        <v>94.7</v>
      </c>
      <c r="D36" s="16" t="n">
        <f aca="false">Corpus!F36</f>
        <v>8.4</v>
      </c>
      <c r="E36" s="17" t="str">
        <f aca="false">Corpus!Q36</f>
        <v>xHigh</v>
      </c>
      <c r="F36" s="14" t="n">
        <f aca="false">IF(Corpus!R36="5x",Assumptions!$B$18,Assumptions!$B$20)</f>
        <v>1.52</v>
      </c>
      <c r="G36" s="14" t="n">
        <f aca="false">C36/(C36-D36)</f>
        <v>1.0973348783314</v>
      </c>
      <c r="H36" s="14" t="n">
        <f aca="false">IF(Corpus!Q36="None",1,IF(Corpus!J36="",1,Corpus!J36/Corpus!H36))</f>
        <v>1.1547619047619</v>
      </c>
      <c r="I36" s="14" t="n">
        <f aca="false">F36*G36*H36</f>
        <v>1.92608398168074</v>
      </c>
      <c r="J36" s="14" t="n">
        <f aca="false">B36*I36</f>
        <v>16.0669385218177</v>
      </c>
      <c r="K36" s="14" t="n">
        <f aca="false">J36*Assumptions!$B$9</f>
        <v>5.67162929820166</v>
      </c>
      <c r="L36" s="14" t="n">
        <f aca="false">J36*Assumptions!$B$10</f>
        <v>1.0314974531007</v>
      </c>
    </row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5" min="4" style="1" width="10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26" min="8" style="1" width="8.71"/>
  </cols>
  <sheetData>
    <row r="1" customFormat="false" ht="15" hidden="false" customHeight="true" outlineLevel="0" collapsed="false">
      <c r="A1" s="2" t="s">
        <v>134</v>
      </c>
      <c r="B1" s="3"/>
      <c r="C1" s="3"/>
      <c r="D1" s="3"/>
      <c r="E1" s="3"/>
      <c r="F1" s="3"/>
      <c r="G1" s="3"/>
    </row>
    <row r="2" customFormat="false" ht="15" hidden="false" customHeight="true" outlineLevel="0" collapsed="false">
      <c r="A2" s="2" t="s">
        <v>100</v>
      </c>
      <c r="B2" s="2" t="s">
        <v>135</v>
      </c>
      <c r="C2" s="2" t="s">
        <v>136</v>
      </c>
      <c r="D2" s="2" t="s">
        <v>137</v>
      </c>
      <c r="E2" s="2" t="s">
        <v>138</v>
      </c>
      <c r="F2" s="2" t="s">
        <v>139</v>
      </c>
      <c r="G2" s="2" t="s">
        <v>140</v>
      </c>
    </row>
    <row r="3" customFormat="false" ht="15" hidden="false" customHeight="true" outlineLevel="0" collapsed="false">
      <c r="A3" s="3" t="s">
        <v>52</v>
      </c>
      <c r="B3" s="15" t="n">
        <f aca="false">C_Low!K3</f>
        <v>0.367868449947115</v>
      </c>
      <c r="C3" s="15" t="n">
        <f aca="false">Table8!E3</f>
        <v>0.7128835</v>
      </c>
      <c r="D3" s="15" t="n">
        <f aca="false">C_High!K3</f>
        <v>1.0465307366637</v>
      </c>
      <c r="E3" s="15" t="n">
        <f aca="false">C_Low!L3</f>
        <v>0.0669041203586539</v>
      </c>
      <c r="F3" s="15" t="n">
        <f aca="false">Table8!F3</f>
        <v>0.1296519</v>
      </c>
      <c r="G3" s="15" t="n">
        <f aca="false">C_High!L3</f>
        <v>0.190332218962633</v>
      </c>
    </row>
    <row r="4" customFormat="false" ht="15" hidden="false" customHeight="true" outlineLevel="0" collapsed="false">
      <c r="A4" s="3" t="s">
        <v>55</v>
      </c>
      <c r="B4" s="15" t="n">
        <f aca="false">C_Low!K4</f>
        <v>2.2927305971289</v>
      </c>
      <c r="C4" s="15" t="n">
        <f aca="false">Table8!E4</f>
        <v>14.80313993886</v>
      </c>
      <c r="D4" s="15" t="n">
        <f aca="false">C_High!K4</f>
        <v>43.4813708473551</v>
      </c>
      <c r="E4" s="15" t="n">
        <f aca="false">C_Low!L4</f>
        <v>0.416978199251204</v>
      </c>
      <c r="F4" s="15" t="n">
        <f aca="false">Table8!F4</f>
        <v>2.692242447804</v>
      </c>
      <c r="G4" s="15" t="n">
        <f aca="false">C_High!L4</f>
        <v>7.9079433665728</v>
      </c>
    </row>
    <row r="5" customFormat="false" ht="15" hidden="false" customHeight="true" outlineLevel="0" collapsed="false">
      <c r="A5" s="3" t="s">
        <v>58</v>
      </c>
      <c r="B5" s="15" t="n">
        <f aca="false">C_Low!K5</f>
        <v>1.28574717737474</v>
      </c>
      <c r="C5" s="15" t="n">
        <f aca="false">Table8!E5</f>
        <v>10.1191277103577</v>
      </c>
      <c r="D5" s="15" t="n">
        <f aca="false">C_High!K5</f>
        <v>32.0575982528226</v>
      </c>
      <c r="E5" s="15" t="n">
        <f aca="false">C_Low!L5</f>
        <v>0.233838438491383</v>
      </c>
      <c r="F5" s="15" t="n">
        <f aca="false">Table8!F5</f>
        <v>1.8403626034135</v>
      </c>
      <c r="G5" s="15" t="n">
        <f aca="false">C_High!L5</f>
        <v>5.83030540462099</v>
      </c>
    </row>
    <row r="6" customFormat="false" ht="15" hidden="false" customHeight="true" outlineLevel="0" collapsed="false">
      <c r="A6" s="3" t="s">
        <v>60</v>
      </c>
      <c r="B6" s="15" t="n">
        <f aca="false">C_Low!K6</f>
        <v>0.899785574276092</v>
      </c>
      <c r="C6" s="15" t="n">
        <f aca="false">Table8!E6</f>
        <v>2.7677967888806</v>
      </c>
      <c r="D6" s="15" t="n">
        <f aca="false">C_High!K6</f>
        <v>4.71316253192239</v>
      </c>
      <c r="E6" s="15" t="n">
        <f aca="false">C_Low!L6</f>
        <v>0.163643722007153</v>
      </c>
      <c r="F6" s="15" t="n">
        <f aca="false">Table8!F6</f>
        <v>0.503378339507463</v>
      </c>
      <c r="G6" s="15" t="n">
        <f aca="false">C_High!L6</f>
        <v>0.857181400989851</v>
      </c>
    </row>
    <row r="7" customFormat="false" ht="15" hidden="false" customHeight="true" outlineLevel="0" collapsed="false">
      <c r="A7" s="3" t="s">
        <v>62</v>
      </c>
      <c r="B7" s="15" t="n">
        <f aca="false">C_Low!K7</f>
        <v>1.34074426977123</v>
      </c>
      <c r="C7" s="15" t="n">
        <f aca="false">Table8!E7</f>
        <v>9.04886397221401</v>
      </c>
      <c r="D7" s="15" t="n">
        <f aca="false">C_High!K7</f>
        <v>17.361738170102</v>
      </c>
      <c r="E7" s="15" t="n">
        <f aca="false">C_Low!L7</f>
        <v>0.243840742547628</v>
      </c>
      <c r="F7" s="15" t="n">
        <f aca="false">Table8!F7</f>
        <v>1.64571407086725</v>
      </c>
      <c r="G7" s="15" t="n">
        <f aca="false">C_High!L7</f>
        <v>3.15757391082308</v>
      </c>
    </row>
    <row r="8" customFormat="false" ht="15" hidden="false" customHeight="true" outlineLevel="0" collapsed="false">
      <c r="A8" s="3" t="s">
        <v>63</v>
      </c>
      <c r="B8" s="15" t="n">
        <f aca="false">C_Low!K8</f>
        <v>0.342789544501706</v>
      </c>
      <c r="C8" s="15" t="n">
        <f aca="false">Table8!E8</f>
        <v>1.06589696238025</v>
      </c>
      <c r="D8" s="15" t="n">
        <f aca="false">C_High!K8</f>
        <v>1.83986646663739</v>
      </c>
      <c r="E8" s="15" t="n">
        <f aca="false">C_Low!L8</f>
        <v>0.0623430276402537</v>
      </c>
      <c r="F8" s="15" t="n">
        <f aca="false">Table8!F8</f>
        <v>0.193854348398901</v>
      </c>
      <c r="G8" s="15" t="n">
        <f aca="false">C_High!L8</f>
        <v>0.334615940957849</v>
      </c>
    </row>
    <row r="9" customFormat="false" ht="15" hidden="false" customHeight="true" outlineLevel="0" collapsed="false">
      <c r="A9" s="3" t="s">
        <v>65</v>
      </c>
      <c r="B9" s="15" t="n">
        <f aca="false">C_Low!K9</f>
        <v>0.359887378667785</v>
      </c>
      <c r="C9" s="15" t="n">
        <f aca="false">Table8!E9</f>
        <v>1.95784364010375</v>
      </c>
      <c r="D9" s="15" t="n">
        <f aca="false">C_High!K9</f>
        <v>3.76638413870517</v>
      </c>
      <c r="E9" s="15" t="n">
        <f aca="false">C_Low!L9</f>
        <v>0.0654526054121015</v>
      </c>
      <c r="F9" s="15" t="n">
        <f aca="false">Table8!F9</f>
        <v>0.35607241273275</v>
      </c>
      <c r="G9" s="15" t="n">
        <f aca="false">C_High!L9</f>
        <v>0.68499110964553</v>
      </c>
    </row>
    <row r="10" customFormat="false" ht="15" hidden="false" customHeight="true" outlineLevel="0" collapsed="false">
      <c r="A10" s="3" t="s">
        <v>67</v>
      </c>
      <c r="B10" s="15" t="n">
        <f aca="false">C_Low!K10</f>
        <v>0.699941165229983</v>
      </c>
      <c r="C10" s="15" t="n">
        <f aca="false">Table8!E10</f>
        <v>4.00027946859591</v>
      </c>
      <c r="D10" s="15" t="n">
        <f aca="false">C_High!K10</f>
        <v>7.7340921852575</v>
      </c>
      <c r="E10" s="15" t="n">
        <f aca="false">C_Low!L10</f>
        <v>0.127298081608399</v>
      </c>
      <c r="F10" s="15" t="n">
        <f aca="false">Table8!F10</f>
        <v>0.727529580407527</v>
      </c>
      <c r="G10" s="15" t="n">
        <f aca="false">C_High!L10</f>
        <v>1.40659693567573</v>
      </c>
    </row>
    <row r="11" customFormat="false" ht="15" hidden="false" customHeight="true" outlineLevel="0" collapsed="false">
      <c r="A11" s="3" t="s">
        <v>68</v>
      </c>
      <c r="B11" s="15" t="n">
        <f aca="false">C_Low!K11</f>
        <v>0.366043653032449</v>
      </c>
      <c r="C11" s="15" t="n">
        <f aca="false">Table8!E11</f>
        <v>1.14777626277079</v>
      </c>
      <c r="D11" s="15" t="n">
        <f aca="false">C_High!K11</f>
        <v>2.00260701533766</v>
      </c>
      <c r="E11" s="15" t="n">
        <f aca="false">C_Low!L11</f>
        <v>0.066572245112417</v>
      </c>
      <c r="F11" s="15" t="n">
        <f aca="false">Table8!F11</f>
        <v>0.208745711246132</v>
      </c>
      <c r="G11" s="15" t="n">
        <f aca="false">C_High!L11</f>
        <v>0.364213513837613</v>
      </c>
    </row>
    <row r="12" customFormat="false" ht="15" hidden="false" customHeight="true" outlineLevel="0" collapsed="false">
      <c r="A12" s="3" t="s">
        <v>70</v>
      </c>
      <c r="B12" s="15" t="n">
        <f aca="false">C_Low!K12</f>
        <v>0.415250853219513</v>
      </c>
      <c r="C12" s="15" t="n">
        <f aca="false">Table8!E12</f>
        <v>1.9819377404328</v>
      </c>
      <c r="D12" s="15" t="n">
        <f aca="false">C_High!K12</f>
        <v>3.61267890685493</v>
      </c>
      <c r="E12" s="15" t="n">
        <f aca="false">C_Low!L12</f>
        <v>0.0755215432767499</v>
      </c>
      <c r="F12" s="15" t="n">
        <f aca="false">Table8!F12</f>
        <v>0.360454399251518</v>
      </c>
      <c r="G12" s="15" t="n">
        <f aca="false">C_High!L12</f>
        <v>0.65703678702574</v>
      </c>
    </row>
    <row r="13" customFormat="false" ht="15" hidden="false" customHeight="true" outlineLevel="0" collapsed="false">
      <c r="A13" s="3" t="s">
        <v>71</v>
      </c>
      <c r="B13" s="15" t="n">
        <f aca="false">C_Low!K13</f>
        <v>1.30023105205942</v>
      </c>
      <c r="C13" s="15" t="n">
        <f aca="false">Table8!E13</f>
        <v>14.8946692568747</v>
      </c>
      <c r="D13" s="15" t="n">
        <f aca="false">C_High!K13</f>
        <v>26.3987270542894</v>
      </c>
      <c r="E13" s="15" t="n">
        <f aca="false">C_Low!L13</f>
        <v>0.236472616266898</v>
      </c>
      <c r="F13" s="15" t="n">
        <f aca="false">Table8!F13</f>
        <v>2.70888885634945</v>
      </c>
      <c r="G13" s="15" t="n">
        <f aca="false">C_High!L13</f>
        <v>4.80112826313139</v>
      </c>
    </row>
    <row r="14" customFormat="false" ht="15" hidden="false" customHeight="true" outlineLevel="0" collapsed="false">
      <c r="A14" s="3" t="s">
        <v>72</v>
      </c>
      <c r="B14" s="15" t="n">
        <f aca="false">C_Low!K14</f>
        <v>0.609172042180145</v>
      </c>
      <c r="C14" s="15" t="n">
        <f aca="false">Table8!E14</f>
        <v>1.94203102594252</v>
      </c>
      <c r="D14" s="15" t="n">
        <f aca="false">C_High!K14</f>
        <v>3.46333282007102</v>
      </c>
      <c r="E14" s="15" t="n">
        <f aca="false">C_Low!L14</f>
        <v>0.110789929484321</v>
      </c>
      <c r="F14" s="15" t="n">
        <f aca="false">Table8!F14</f>
        <v>0.35319657752269</v>
      </c>
      <c r="G14" s="15" t="n">
        <f aca="false">C_High!L14</f>
        <v>0.629875260760792</v>
      </c>
    </row>
    <row r="15" customFormat="false" ht="15" hidden="false" customHeight="true" outlineLevel="0" collapsed="false">
      <c r="A15" s="3" t="s">
        <v>74</v>
      </c>
      <c r="B15" s="15" t="n">
        <f aca="false">C_Low!K15</f>
        <v>0.822327809981527</v>
      </c>
      <c r="C15" s="15" t="n">
        <f aca="false">Table8!E15</f>
        <v>6.8225492788709</v>
      </c>
      <c r="D15" s="15" t="n">
        <f aca="false">C_High!K15</f>
        <v>12.0722290993121</v>
      </c>
      <c r="E15" s="15" t="n">
        <f aca="false">C_Low!L15</f>
        <v>0.149556502551881</v>
      </c>
      <c r="F15" s="15" t="n">
        <f aca="false">Table8!F15</f>
        <v>1.24081491134139</v>
      </c>
      <c r="G15" s="15" t="n">
        <f aca="false">C_High!L15</f>
        <v>2.19557254440748</v>
      </c>
    </row>
    <row r="16" customFormat="false" ht="15" hidden="false" customHeight="true" outlineLevel="0" collapsed="false">
      <c r="A16" s="3" t="s">
        <v>75</v>
      </c>
      <c r="B16" s="15" t="n">
        <f aca="false">C_Low!K16</f>
        <v>0.889143112717355</v>
      </c>
      <c r="C16" s="15" t="n">
        <f aca="false">Table8!E16</f>
        <v>4.76612943039153</v>
      </c>
      <c r="D16" s="15" t="n">
        <f aca="false">C_High!K16</f>
        <v>10.3302398346606</v>
      </c>
      <c r="E16" s="15" t="n">
        <f aca="false">C_Low!L16</f>
        <v>0.161708180839814</v>
      </c>
      <c r="F16" s="15" t="n">
        <f aca="false">Table8!F16</f>
        <v>0.866814474309168</v>
      </c>
      <c r="G16" s="15" t="n">
        <f aca="false">C_High!L16</f>
        <v>1.87875749967482</v>
      </c>
    </row>
    <row r="17" customFormat="false" ht="15" hidden="false" customHeight="true" outlineLevel="0" collapsed="false">
      <c r="A17" s="3" t="s">
        <v>77</v>
      </c>
      <c r="B17" s="15" t="n">
        <f aca="false">C_Low!K17</f>
        <v>0.86685109726084</v>
      </c>
      <c r="C17" s="15" t="n">
        <f aca="false">Table8!E17</f>
        <v>3.94269000058284</v>
      </c>
      <c r="D17" s="15" t="n">
        <f aca="false">C_High!K17</f>
        <v>7.88638079411719</v>
      </c>
      <c r="E17" s="15" t="n">
        <f aca="false">C_Low!L17</f>
        <v>0.157653938935258</v>
      </c>
      <c r="F17" s="15" t="n">
        <f aca="false">Table8!F17</f>
        <v>0.717055801805718</v>
      </c>
      <c r="G17" s="15" t="n">
        <f aca="false">C_High!L17</f>
        <v>1.43429361751367</v>
      </c>
    </row>
    <row r="18" customFormat="false" ht="15" hidden="false" customHeight="true" outlineLevel="0" collapsed="false">
      <c r="A18" s="3" t="s">
        <v>79</v>
      </c>
      <c r="B18" s="15" t="n">
        <f aca="false">C_Low!K18</f>
        <v>0.876571741367926</v>
      </c>
      <c r="C18" s="15" t="n">
        <f aca="false">Table8!E18</f>
        <v>4.6322527075785</v>
      </c>
      <c r="D18" s="15" t="n">
        <f aca="false">C_High!K18</f>
        <v>9.83132078464822</v>
      </c>
      <c r="E18" s="15" t="n">
        <f aca="false">C_Low!L18</f>
        <v>0.159421829449917</v>
      </c>
      <c r="F18" s="15" t="n">
        <f aca="false">Table8!F18</f>
        <v>0.842466356449121</v>
      </c>
      <c r="G18" s="15" t="n">
        <f aca="false">C_High!L18</f>
        <v>1.78801924751959</v>
      </c>
    </row>
    <row r="19" customFormat="false" ht="15" hidden="false" customHeight="true" outlineLevel="0" collapsed="false">
      <c r="A19" s="3" t="s">
        <v>80</v>
      </c>
      <c r="B19" s="15" t="n">
        <f aca="false">C_Low!K19</f>
        <v>0.984527217169836</v>
      </c>
      <c r="C19" s="15" t="n">
        <f aca="false">Table8!E19</f>
        <v>6.57252545432699</v>
      </c>
      <c r="D19" s="15" t="n">
        <f aca="false">C_High!K19</f>
        <v>14.640805272897</v>
      </c>
      <c r="E19" s="15" t="n">
        <f aca="false">C_Low!L19</f>
        <v>0.179055658193494</v>
      </c>
      <c r="F19" s="15" t="n">
        <f aca="false">Table8!F19</f>
        <v>1.1953431562827</v>
      </c>
      <c r="G19" s="15" t="n">
        <f aca="false">C_High!L19</f>
        <v>2.66271869269119</v>
      </c>
    </row>
    <row r="20" customFormat="false" ht="15" hidden="false" customHeight="true" outlineLevel="0" collapsed="false">
      <c r="A20" s="3" t="s">
        <v>81</v>
      </c>
      <c r="B20" s="15" t="n">
        <f aca="false">C_Low!K20</f>
        <v>1.11409761891162</v>
      </c>
      <c r="C20" s="15" t="n">
        <f aca="false">Table8!E20</f>
        <v>6.85310365663445</v>
      </c>
      <c r="D20" s="15" t="n">
        <f aca="false">C_High!K20</f>
        <v>17.7704975325097</v>
      </c>
      <c r="E20" s="15" t="n">
        <f aca="false">C_Low!L20</f>
        <v>0.202620586782226</v>
      </c>
      <c r="F20" s="15" t="n">
        <f aca="false">Table8!F20</f>
        <v>1.24637182650406</v>
      </c>
      <c r="G20" s="15" t="n">
        <f aca="false">C_High!L20</f>
        <v>3.23191484868874</v>
      </c>
    </row>
    <row r="21" customFormat="false" ht="15.75" hidden="false" customHeight="true" outlineLevel="0" collapsed="false">
      <c r="A21" s="3" t="s">
        <v>82</v>
      </c>
      <c r="B21" s="15" t="n">
        <f aca="false">C_Low!K21</f>
        <v>0.412223215072111</v>
      </c>
      <c r="C21" s="15" t="n">
        <f aca="false">Table8!E21</f>
        <v>2.05571234943187</v>
      </c>
      <c r="D21" s="15" t="n">
        <f aca="false">C_High!K21</f>
        <v>4.71873432940526</v>
      </c>
      <c r="E21" s="15" t="n">
        <f aca="false">C_Low!L21</f>
        <v>0.0749709076703387</v>
      </c>
      <c r="F21" s="15" t="n">
        <f aca="false">Table8!F21</f>
        <v>0.373871764400924</v>
      </c>
      <c r="G21" s="15" t="n">
        <f aca="false">C_High!L21</f>
        <v>0.858194742061807</v>
      </c>
    </row>
    <row r="22" customFormat="false" ht="15.75" hidden="false" customHeight="true" outlineLevel="0" collapsed="false">
      <c r="A22" s="3" t="s">
        <v>83</v>
      </c>
      <c r="B22" s="15" t="n">
        <f aca="false">C_Low!K22</f>
        <v>0.399901413906135</v>
      </c>
      <c r="C22" s="15" t="n">
        <f aca="false">Table8!E22</f>
        <v>1.81012020711706</v>
      </c>
      <c r="D22" s="15" t="n">
        <f aca="false">C_High!K22</f>
        <v>3.97353042544038</v>
      </c>
      <c r="E22" s="15" t="n">
        <f aca="false">C_Low!L22</f>
        <v>0.0727299455319372</v>
      </c>
      <c r="F22" s="15" t="n">
        <f aca="false">Table8!F22</f>
        <v>0.329205998008259</v>
      </c>
      <c r="G22" s="15" t="n">
        <f aca="false">C_High!L22</f>
        <v>0.722664740264228</v>
      </c>
    </row>
    <row r="23" customFormat="false" ht="15.75" hidden="false" customHeight="true" outlineLevel="0" collapsed="false">
      <c r="A23" s="3" t="s">
        <v>84</v>
      </c>
      <c r="B23" s="15" t="n">
        <f aca="false">C_Low!K23</f>
        <v>0.377423808511481</v>
      </c>
      <c r="C23" s="15" t="n">
        <f aca="false">Table8!E23</f>
        <v>1.95462954016611</v>
      </c>
      <c r="D23" s="15" t="n">
        <f aca="false">C_High!K23</f>
        <v>4.72135513556494</v>
      </c>
      <c r="E23" s="15" t="n">
        <f aca="false">C_Low!L23</f>
        <v>0.0686419504431645</v>
      </c>
      <c r="F23" s="15" t="n">
        <f aca="false">Table8!F23</f>
        <v>0.355487865378652</v>
      </c>
      <c r="G23" s="15" t="n">
        <f aca="false">C_High!L23</f>
        <v>0.858671387261386</v>
      </c>
    </row>
    <row r="24" customFormat="false" ht="15.75" hidden="false" customHeight="true" outlineLevel="0" collapsed="false">
      <c r="A24" s="3" t="s">
        <v>85</v>
      </c>
      <c r="B24" s="15" t="n">
        <f aca="false">C_Low!K24</f>
        <v>0.43725011496859</v>
      </c>
      <c r="C24" s="15" t="n">
        <f aca="false">Table8!E24</f>
        <v>2.63285837872559</v>
      </c>
      <c r="D24" s="15" t="n">
        <f aca="false">C_High!K24</f>
        <v>5.24621135594118</v>
      </c>
      <c r="E24" s="15" t="n">
        <f aca="false">C_Low!L24</f>
        <v>0.0795225421557606</v>
      </c>
      <c r="F24" s="15" t="n">
        <f aca="false">Table8!F24</f>
        <v>0.478837132901367</v>
      </c>
      <c r="G24" s="15" t="n">
        <f aca="false">C_High!L24</f>
        <v>0.954126824508282</v>
      </c>
    </row>
    <row r="25" customFormat="false" ht="15.75" hidden="false" customHeight="true" outlineLevel="0" collapsed="false">
      <c r="A25" s="3" t="s">
        <v>86</v>
      </c>
      <c r="B25" s="15" t="n">
        <f aca="false">C_Low!K25</f>
        <v>0.487003767306717</v>
      </c>
      <c r="C25" s="15" t="n">
        <f aca="false">Table8!E25</f>
        <v>3.30719829211452</v>
      </c>
      <c r="D25" s="15" t="n">
        <f aca="false">C_High!K25</f>
        <v>7.91868729949961</v>
      </c>
      <c r="E25" s="15" t="n">
        <f aca="false">C_Low!L25</f>
        <v>0.0885712234025248</v>
      </c>
      <c r="F25" s="15" t="n">
        <f aca="false">Table8!F25</f>
        <v>0.601479122815161</v>
      </c>
      <c r="G25" s="15" t="n">
        <f aca="false">C_High!L25</f>
        <v>1.44016919158038</v>
      </c>
    </row>
    <row r="26" customFormat="false" ht="15.75" hidden="false" customHeight="true" outlineLevel="0" collapsed="false">
      <c r="A26" s="3" t="s">
        <v>87</v>
      </c>
      <c r="B26" s="15" t="n">
        <f aca="false">C_Low!K26</f>
        <v>1.03535164372081</v>
      </c>
      <c r="C26" s="15" t="n">
        <f aca="false">Table8!E26</f>
        <v>4.54230449389681</v>
      </c>
      <c r="D26" s="15" t="n">
        <f aca="false">C_High!K26</f>
        <v>9.79320848884152</v>
      </c>
      <c r="E26" s="15" t="n">
        <f aca="false">C_Low!L26</f>
        <v>0.188299080812679</v>
      </c>
      <c r="F26" s="15" t="n">
        <f aca="false">Table8!F26</f>
        <v>0.82610750285602</v>
      </c>
      <c r="G26" s="15" t="n">
        <f aca="false">C_High!L26</f>
        <v>1.78108777615758</v>
      </c>
    </row>
    <row r="27" customFormat="false" ht="15.75" hidden="false" customHeight="true" outlineLevel="0" collapsed="false">
      <c r="A27" s="3" t="s">
        <v>88</v>
      </c>
      <c r="B27" s="15" t="n">
        <f aca="false">C_Low!K27</f>
        <v>0.981515139028222</v>
      </c>
      <c r="C27" s="15" t="n">
        <f aca="false">Table8!E27</f>
        <v>4.23710059851633</v>
      </c>
      <c r="D27" s="15" t="n">
        <f aca="false">C_High!K27</f>
        <v>9.12557371832406</v>
      </c>
      <c r="E27" s="15" t="n">
        <f aca="false">C_Low!L27</f>
        <v>0.178507852480487</v>
      </c>
      <c r="F27" s="15" t="n">
        <f aca="false">Table8!F27</f>
        <v>0.770600165509203</v>
      </c>
      <c r="G27" s="15" t="n">
        <f aca="false">C_High!L27</f>
        <v>1.6596652484884</v>
      </c>
    </row>
    <row r="28" customFormat="false" ht="15.75" hidden="false" customHeight="true" outlineLevel="0" collapsed="false">
      <c r="A28" s="3" t="s">
        <v>89</v>
      </c>
      <c r="B28" s="15" t="n">
        <f aca="false">C_Low!K28</f>
        <v>1.02057993032376</v>
      </c>
      <c r="C28" s="15" t="n">
        <f aca="false">Table8!E28</f>
        <v>4.57383063316862</v>
      </c>
      <c r="D28" s="15" t="n">
        <f aca="false">C_High!K28</f>
        <v>9.45327705133977</v>
      </c>
      <c r="E28" s="15" t="n">
        <f aca="false">C_Low!L28</f>
        <v>0.185612553900242</v>
      </c>
      <c r="F28" s="15" t="n">
        <f aca="false">Table8!F28</f>
        <v>0.831841151981376</v>
      </c>
      <c r="G28" s="15" t="n">
        <f aca="false">C_High!L28</f>
        <v>1.71926455154678</v>
      </c>
    </row>
    <row r="29" customFormat="false" ht="15.75" hidden="false" customHeight="true" outlineLevel="0" collapsed="false">
      <c r="A29" s="3" t="s">
        <v>90</v>
      </c>
      <c r="B29" s="15" t="n">
        <f aca="false">C_Low!K29</f>
        <v>1.05713728937108</v>
      </c>
      <c r="C29" s="15" t="n">
        <f aca="false">Table8!E29</f>
        <v>5.10372851101958</v>
      </c>
      <c r="D29" s="15" t="n">
        <f aca="false">C_High!K29</f>
        <v>11.0077462833854</v>
      </c>
      <c r="E29" s="15" t="n">
        <f aca="false">C_Low!L29</f>
        <v>0.192261229398367</v>
      </c>
      <c r="F29" s="15" t="n">
        <f aca="false">Table8!F29</f>
        <v>0.928213513902144</v>
      </c>
      <c r="G29" s="15" t="n">
        <f aca="false">C_High!L29</f>
        <v>2.0019753863834</v>
      </c>
    </row>
    <row r="30" customFormat="false" ht="15.75" hidden="false" customHeight="true" outlineLevel="0" collapsed="false">
      <c r="A30" s="3" t="s">
        <v>91</v>
      </c>
      <c r="B30" s="15" t="n">
        <f aca="false">C_Low!K30</f>
        <v>1.08318928505844</v>
      </c>
      <c r="C30" s="15" t="n">
        <f aca="false">Table8!E30</f>
        <v>5.77387175449638</v>
      </c>
      <c r="D30" s="15" t="n">
        <f aca="false">C_High!K30</f>
        <v>11.5878351513106</v>
      </c>
      <c r="E30" s="15" t="n">
        <f aca="false">C_Low!L30</f>
        <v>0.19699929773584</v>
      </c>
      <c r="F30" s="15" t="n">
        <f aca="false">Table8!F30</f>
        <v>1.05009225676676</v>
      </c>
      <c r="G30" s="15" t="n">
        <f aca="false">C_High!L30</f>
        <v>2.10747596802873</v>
      </c>
    </row>
    <row r="31" customFormat="false" ht="15.75" hidden="false" customHeight="true" outlineLevel="0" collapsed="false">
      <c r="A31" s="3" t="s">
        <v>92</v>
      </c>
      <c r="B31" s="15" t="n">
        <f aca="false">C_Low!K31</f>
        <v>1.08318928505844</v>
      </c>
      <c r="C31" s="15" t="n">
        <f aca="false">Table8!E31</f>
        <v>5.77387175449638</v>
      </c>
      <c r="D31" s="15" t="n">
        <f aca="false">C_High!K31</f>
        <v>11.5878351513106</v>
      </c>
      <c r="E31" s="15" t="n">
        <f aca="false">C_Low!L31</f>
        <v>0.19699929773584</v>
      </c>
      <c r="F31" s="15" t="n">
        <f aca="false">Table8!F31</f>
        <v>1.05009225676676</v>
      </c>
      <c r="G31" s="15" t="n">
        <f aca="false">C_High!L31</f>
        <v>2.10747596802873</v>
      </c>
    </row>
    <row r="32" customFormat="false" ht="15.75" hidden="false" customHeight="true" outlineLevel="0" collapsed="false">
      <c r="A32" s="3" t="s">
        <v>94</v>
      </c>
      <c r="B32" s="15" t="n">
        <f aca="false">C_Low!K32</f>
        <v>0.55650099262922</v>
      </c>
      <c r="C32" s="15" t="n">
        <f aca="false">Table8!E32</f>
        <v>2.37810471853289</v>
      </c>
      <c r="D32" s="15" t="n">
        <f aca="false">C_High!K32</f>
        <v>4.79476382454383</v>
      </c>
      <c r="E32" s="15" t="n">
        <f aca="false">C_Low!L32</f>
        <v>0.101210662115569</v>
      </c>
      <c r="F32" s="15" t="n">
        <f aca="false">Table8!F32</f>
        <v>0.432505164107114</v>
      </c>
      <c r="G32" s="15" t="n">
        <f aca="false">C_High!L32</f>
        <v>0.872022202650748</v>
      </c>
    </row>
    <row r="33" customFormat="false" ht="15.75" hidden="false" customHeight="true" outlineLevel="0" collapsed="false">
      <c r="A33" s="3" t="s">
        <v>95</v>
      </c>
      <c r="B33" s="15" t="n">
        <f aca="false">C_Low!K33</f>
        <v>0.587096794139416</v>
      </c>
      <c r="C33" s="15" t="n">
        <f aca="false">Table8!E33</f>
        <v>2.42475674674202</v>
      </c>
      <c r="D33" s="15" t="n">
        <f aca="false">C_High!K33</f>
        <v>4.65883368764311</v>
      </c>
      <c r="E33" s="15" t="n">
        <f aca="false">C_Low!L33</f>
        <v>0.106775111002126</v>
      </c>
      <c r="F33" s="15" t="n">
        <f aca="false">Table8!F33</f>
        <v>0.440989753940049</v>
      </c>
      <c r="G33" s="15" t="n">
        <f aca="false">C_High!L33</f>
        <v>0.847300631010447</v>
      </c>
    </row>
    <row r="34" customFormat="false" ht="15.75" hidden="false" customHeight="true" outlineLevel="0" collapsed="false">
      <c r="A34" s="3" t="s">
        <v>96</v>
      </c>
      <c r="B34" s="15" t="n">
        <f aca="false">C_Low!K34</f>
        <v>0.582983841465493</v>
      </c>
      <c r="C34" s="15" t="n">
        <f aca="false">Table8!E34</f>
        <v>2.41039912003178</v>
      </c>
      <c r="D34" s="15" t="n">
        <f aca="false">C_High!K34</f>
        <v>4.82912836328947</v>
      </c>
      <c r="E34" s="15" t="n">
        <f aca="false">C_Low!L34</f>
        <v>0.106027089580976</v>
      </c>
      <c r="F34" s="15" t="n">
        <f aca="false">Table8!F34</f>
        <v>0.438378536844307</v>
      </c>
      <c r="G34" s="15" t="n">
        <f aca="false">C_High!L34</f>
        <v>0.87827207060392</v>
      </c>
    </row>
    <row r="35" customFormat="false" ht="15.75" hidden="false" customHeight="true" outlineLevel="0" collapsed="false">
      <c r="A35" s="3" t="s">
        <v>97</v>
      </c>
      <c r="B35" s="15" t="n">
        <f aca="false">C_Low!K35</f>
        <v>0.581579338613547</v>
      </c>
      <c r="C35" s="15" t="n">
        <f aca="false">Table8!E35</f>
        <v>2.53352504434438</v>
      </c>
      <c r="D35" s="15" t="n">
        <f aca="false">C_High!K35</f>
        <v>4.91596921370831</v>
      </c>
      <c r="E35" s="15" t="n">
        <f aca="false">C_Low!L35</f>
        <v>0.105771653084957</v>
      </c>
      <c r="F35" s="15" t="n">
        <f aca="false">Table8!F35</f>
        <v>0.460771410331187</v>
      </c>
      <c r="G35" s="15" t="n">
        <f aca="false">C_High!L35</f>
        <v>0.894065789008707</v>
      </c>
    </row>
    <row r="36" customFormat="false" ht="15.75" hidden="false" customHeight="true" outlineLevel="0" collapsed="false">
      <c r="A36" s="3" t="s">
        <v>98</v>
      </c>
      <c r="B36" s="15" t="n">
        <f aca="false">C_Low!K36</f>
        <v>0.625951819423467</v>
      </c>
      <c r="C36" s="15" t="n">
        <f aca="false">Table8!E36</f>
        <v>2.94464278408696</v>
      </c>
      <c r="D36" s="15" t="n">
        <f aca="false">C_High!K36</f>
        <v>5.67162929820166</v>
      </c>
      <c r="E36" s="15" t="n">
        <f aca="false">C_Low!L36</f>
        <v>0.113841662342738</v>
      </c>
      <c r="F36" s="15" t="n">
        <f aca="false">Table8!F36</f>
        <v>0.535541265547826</v>
      </c>
      <c r="G36" s="15" t="n">
        <f aca="false">C_High!L36</f>
        <v>1.0314974531007</v>
      </c>
    </row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3" min="3" style="1" width="5"/>
    <col collapsed="false" customWidth="true" hidden="false" outlineLevel="0" max="4" min="4" style="1" width="20"/>
    <col collapsed="false" customWidth="true" hidden="false" outlineLevel="0" max="5" min="5" style="1" width="5"/>
    <col collapsed="false" customWidth="true" hidden="false" outlineLevel="0" max="6" min="6" style="1" width="20"/>
    <col collapsed="false" customWidth="true" hidden="false" outlineLevel="0" max="7" min="7" style="1" width="5"/>
    <col collapsed="false" customWidth="true" hidden="false" outlineLevel="0" max="8" min="8" style="1" width="24"/>
    <col collapsed="false" customWidth="true" hidden="false" outlineLevel="0" max="9" min="9" style="1" width="22"/>
    <col collapsed="false" customWidth="true" hidden="false" outlineLevel="0" max="10" min="10" style="1" width="5"/>
    <col collapsed="false" customWidth="true" hidden="false" outlineLevel="0" max="26" min="11" style="1" width="8.71"/>
  </cols>
  <sheetData>
    <row r="1" customFormat="false" ht="15" hidden="false" customHeight="true" outlineLevel="0" collapsed="false">
      <c r="A1" s="2" t="s">
        <v>141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2" t="s">
        <v>50</v>
      </c>
      <c r="B2" s="2" t="s">
        <v>142</v>
      </c>
      <c r="C2" s="2" t="s">
        <v>45</v>
      </c>
      <c r="D2" s="2" t="s">
        <v>143</v>
      </c>
      <c r="E2" s="2" t="s">
        <v>45</v>
      </c>
      <c r="F2" s="2" t="s">
        <v>144</v>
      </c>
      <c r="G2" s="2" t="s">
        <v>45</v>
      </c>
      <c r="H2" s="2" t="s">
        <v>145</v>
      </c>
      <c r="I2" s="2" t="s">
        <v>146</v>
      </c>
      <c r="J2" s="2" t="s">
        <v>45</v>
      </c>
    </row>
    <row r="3" customFormat="false" ht="15" hidden="false" customHeight="true" outlineLevel="0" collapsed="false">
      <c r="A3" s="3" t="s">
        <v>147</v>
      </c>
      <c r="B3" s="7" t="n">
        <v>2.07</v>
      </c>
      <c r="C3" s="7" t="n">
        <v>37</v>
      </c>
      <c r="D3" s="7" t="n">
        <v>1.71</v>
      </c>
      <c r="E3" s="7" t="n">
        <v>39</v>
      </c>
      <c r="F3" s="7" t="n">
        <v>1.84</v>
      </c>
      <c r="G3" s="7" t="n">
        <v>4</v>
      </c>
      <c r="H3" s="7" t="n">
        <v>1.02</v>
      </c>
      <c r="I3" s="7" t="n">
        <v>5.82</v>
      </c>
      <c r="J3" s="7" t="n">
        <v>12</v>
      </c>
    </row>
    <row r="4" customFormat="false" ht="15" hidden="false" customHeight="true" outlineLevel="0" collapsed="false">
      <c r="A4" s="3" t="s">
        <v>78</v>
      </c>
      <c r="B4" s="7" t="n">
        <v>1.64</v>
      </c>
      <c r="C4" s="7" t="n">
        <v>37</v>
      </c>
      <c r="D4" s="7" t="n">
        <v>1.45</v>
      </c>
      <c r="E4" s="7" t="n">
        <v>39</v>
      </c>
      <c r="F4" s="7" t="n">
        <v>1.34</v>
      </c>
      <c r="G4" s="7" t="n">
        <v>4</v>
      </c>
      <c r="H4" s="7" t="n">
        <v>1.01</v>
      </c>
      <c r="I4" s="7" t="n">
        <v>2.07</v>
      </c>
      <c r="J4" s="7" t="n">
        <v>20</v>
      </c>
    </row>
    <row r="5" customFormat="false" ht="15" hidden="false" customHeight="true" outlineLevel="0" collapsed="false">
      <c r="A5" s="3" t="s">
        <v>66</v>
      </c>
      <c r="B5" s="7" t="n">
        <v>2.01</v>
      </c>
      <c r="C5" s="7" t="n">
        <v>37</v>
      </c>
      <c r="D5" s="7" t="n">
        <v>1.69</v>
      </c>
      <c r="E5" s="7" t="n">
        <v>39</v>
      </c>
      <c r="F5" s="7" t="n">
        <v>1.54</v>
      </c>
      <c r="G5" s="7" t="n">
        <v>4</v>
      </c>
      <c r="H5" s="7" t="n">
        <v>1.02</v>
      </c>
      <c r="I5" s="7" t="n">
        <v>3.21</v>
      </c>
      <c r="J5" s="7" t="n">
        <v>12</v>
      </c>
    </row>
    <row r="6" customFormat="false" ht="15" hidden="false" customHeight="true" outlineLevel="0" collapsed="false">
      <c r="A6" s="3" t="s">
        <v>56</v>
      </c>
      <c r="B6" s="7" t="n">
        <v>2.99</v>
      </c>
      <c r="C6" s="7" t="n">
        <v>36</v>
      </c>
      <c r="D6" s="7" t="n">
        <v>2.39</v>
      </c>
      <c r="E6" s="7" t="n">
        <v>39</v>
      </c>
      <c r="F6" s="7" t="n">
        <v>2.2</v>
      </c>
      <c r="G6" s="7" t="n">
        <v>4</v>
      </c>
      <c r="H6" s="7" t="n">
        <v>1.14</v>
      </c>
      <c r="I6" s="7" t="n">
        <v>4.93</v>
      </c>
      <c r="J6" s="7" t="n">
        <v>12</v>
      </c>
    </row>
    <row r="7" customFormat="false" ht="15" hidden="false" customHeight="true" outlineLevel="0" collapsed="false">
      <c r="A7" s="3" t="s">
        <v>148</v>
      </c>
      <c r="B7" s="7" t="n">
        <v>3.52</v>
      </c>
      <c r="C7" s="7" t="n">
        <v>37</v>
      </c>
      <c r="D7" s="7" t="n">
        <v>2.46</v>
      </c>
      <c r="E7" s="7" t="n">
        <v>38</v>
      </c>
      <c r="F7" s="7" t="n">
        <v>2.76</v>
      </c>
      <c r="G7" s="7" t="n">
        <v>3</v>
      </c>
      <c r="H7" s="7" t="n">
        <v>1.29</v>
      </c>
      <c r="I7" s="7" t="n">
        <v>5.62</v>
      </c>
      <c r="J7" s="7" t="n">
        <v>12</v>
      </c>
    </row>
    <row r="8" customFormat="false" ht="1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</row>
    <row r="9" customFormat="false" ht="15" hidden="false" customHeight="true" outlineLevel="0" collapsed="false">
      <c r="A9" s="3" t="s">
        <v>149</v>
      </c>
      <c r="B9" s="3"/>
      <c r="C9" s="3"/>
      <c r="D9" s="3"/>
      <c r="E9" s="3"/>
      <c r="F9" s="3"/>
      <c r="G9" s="3"/>
      <c r="H9" s="3"/>
      <c r="I9" s="3"/>
      <c r="J9" s="3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4"/>
    <col collapsed="false" customWidth="true" hidden="false" outlineLevel="0" max="3" min="3" style="1" width="8"/>
    <col collapsed="false" customWidth="true" hidden="false" outlineLevel="0" max="4" min="4" style="1" width="9"/>
    <col collapsed="false" customWidth="true" hidden="false" outlineLevel="0" max="26" min="5" style="1" width="8.71"/>
  </cols>
  <sheetData>
    <row r="1" customFormat="false" ht="15" hidden="false" customHeight="true" outlineLevel="0" collapsed="false">
      <c r="A1" s="2" t="s">
        <v>150</v>
      </c>
      <c r="B1" s="3"/>
      <c r="C1" s="3"/>
      <c r="D1" s="3"/>
    </row>
    <row r="2" customFormat="false" ht="15" hidden="false" customHeight="true" outlineLevel="0" collapsed="false">
      <c r="A2" s="2" t="s">
        <v>151</v>
      </c>
      <c r="B2" s="2" t="s">
        <v>152</v>
      </c>
      <c r="C2" s="2" t="s">
        <v>153</v>
      </c>
      <c r="D2" s="2" t="s">
        <v>154</v>
      </c>
    </row>
    <row r="3" customFormat="false" ht="15" hidden="false" customHeight="true" outlineLevel="0" collapsed="false">
      <c r="A3" s="3" t="s">
        <v>52</v>
      </c>
      <c r="B3" s="7" t="n">
        <v>80.1</v>
      </c>
      <c r="C3" s="7" t="n">
        <v>23.9</v>
      </c>
      <c r="D3" s="7" t="n">
        <v>57</v>
      </c>
    </row>
    <row r="4" customFormat="false" ht="15" hidden="false" customHeight="true" outlineLevel="0" collapsed="false">
      <c r="A4" s="3" t="s">
        <v>55</v>
      </c>
      <c r="B4" s="7" t="n">
        <v>68.1</v>
      </c>
      <c r="C4" s="7" t="n">
        <v>15.7</v>
      </c>
      <c r="D4" s="7" t="n">
        <v>56</v>
      </c>
    </row>
    <row r="5" customFormat="false" ht="15" hidden="false" customHeight="true" outlineLevel="0" collapsed="false">
      <c r="A5" s="3" t="s">
        <v>155</v>
      </c>
      <c r="B5" s="7" t="n">
        <v>61.7</v>
      </c>
      <c r="C5" s="7" t="n">
        <v>14.2</v>
      </c>
      <c r="D5" s="7" t="n">
        <v>57</v>
      </c>
    </row>
    <row r="6" customFormat="false" ht="15" hidden="false" customHeight="true" outlineLevel="0" collapsed="false">
      <c r="A6" s="3" t="s">
        <v>156</v>
      </c>
      <c r="B6" s="7" t="n">
        <v>60.8</v>
      </c>
      <c r="C6" s="7" t="n">
        <v>14.5</v>
      </c>
      <c r="D6" s="7" t="n">
        <v>57</v>
      </c>
    </row>
    <row r="7" customFormat="false" ht="15" hidden="false" customHeight="true" outlineLevel="0" collapsed="false">
      <c r="A7" s="3" t="s">
        <v>157</v>
      </c>
      <c r="B7" s="7" t="n">
        <v>61.4</v>
      </c>
      <c r="C7" s="7" t="n">
        <v>13.3</v>
      </c>
      <c r="D7" s="7" t="n">
        <v>57</v>
      </c>
    </row>
    <row r="8" customFormat="false" ht="15" hidden="false" customHeight="true" outlineLevel="0" collapsed="false">
      <c r="A8" s="3" t="s">
        <v>58</v>
      </c>
      <c r="B8" s="7" t="n">
        <v>63.8</v>
      </c>
      <c r="C8" s="7" t="n">
        <v>16.7</v>
      </c>
      <c r="D8" s="7" t="n">
        <v>56</v>
      </c>
    </row>
    <row r="9" customFormat="false" ht="15" hidden="false" customHeight="true" outlineLevel="0" collapsed="false">
      <c r="A9" s="3" t="s">
        <v>158</v>
      </c>
      <c r="B9" s="7" t="n">
        <v>57.5</v>
      </c>
      <c r="C9" s="7" t="n">
        <v>6.4</v>
      </c>
      <c r="D9" s="7" t="n">
        <v>56</v>
      </c>
    </row>
    <row r="10" customFormat="false" ht="15" hidden="false" customHeight="true" outlineLevel="0" collapsed="false">
      <c r="A10" s="3" t="s">
        <v>159</v>
      </c>
      <c r="B10" s="7" t="n">
        <v>57</v>
      </c>
      <c r="C10" s="7" t="n">
        <v>6</v>
      </c>
      <c r="D10" s="7" t="n">
        <v>57</v>
      </c>
    </row>
    <row r="11" customFormat="false" ht="15" hidden="false" customHeight="true" outlineLevel="0" collapsed="false">
      <c r="A11" s="3" t="s">
        <v>160</v>
      </c>
      <c r="B11" s="7" t="n">
        <v>57.9</v>
      </c>
      <c r="C11" s="7" t="n">
        <v>6.3</v>
      </c>
      <c r="D11" s="7" t="n">
        <v>57</v>
      </c>
    </row>
    <row r="12" customFormat="false" ht="15" hidden="false" customHeight="true" outlineLevel="0" collapsed="false">
      <c r="A12" s="3" t="s">
        <v>61</v>
      </c>
      <c r="B12" s="7" t="n">
        <v>59.6</v>
      </c>
      <c r="C12" s="7" t="n">
        <v>6.4</v>
      </c>
      <c r="D12" s="7" t="n">
        <v>57</v>
      </c>
    </row>
    <row r="13" customFormat="false" ht="15" hidden="false" customHeight="true" outlineLevel="0" collapsed="false">
      <c r="A13" s="3" t="s">
        <v>62</v>
      </c>
      <c r="B13" s="7" t="n">
        <v>59.1</v>
      </c>
      <c r="C13" s="7" t="n">
        <v>6.9</v>
      </c>
      <c r="D13" s="7" t="n">
        <v>56</v>
      </c>
    </row>
    <row r="14" customFormat="false" ht="15" hidden="false" customHeight="true" outlineLevel="0" collapsed="false">
      <c r="A14" s="3" t="s">
        <v>161</v>
      </c>
      <c r="B14" s="7" t="n">
        <v>93.4</v>
      </c>
      <c r="C14" s="7" t="n">
        <v>11.3</v>
      </c>
      <c r="D14" s="7" t="n">
        <v>56</v>
      </c>
    </row>
    <row r="15" customFormat="false" ht="15" hidden="false" customHeight="true" outlineLevel="0" collapsed="false">
      <c r="A15" s="3" t="s">
        <v>162</v>
      </c>
      <c r="B15" s="7" t="n">
        <v>92.1</v>
      </c>
      <c r="C15" s="7" t="n">
        <v>16.3</v>
      </c>
      <c r="D15" s="7" t="n">
        <v>57</v>
      </c>
    </row>
    <row r="16" customFormat="false" ht="15" hidden="false" customHeight="true" outlineLevel="0" collapsed="false">
      <c r="A16" s="3" t="s">
        <v>163</v>
      </c>
      <c r="B16" s="7" t="n">
        <v>93</v>
      </c>
      <c r="C16" s="7" t="n">
        <v>10.7</v>
      </c>
      <c r="D16" s="7" t="n">
        <v>57</v>
      </c>
    </row>
    <row r="17" customFormat="false" ht="15" hidden="false" customHeight="true" outlineLevel="0" collapsed="false">
      <c r="A17" s="3" t="s">
        <v>73</v>
      </c>
      <c r="B17" s="7" t="n">
        <v>86</v>
      </c>
      <c r="C17" s="7" t="n">
        <v>12.7</v>
      </c>
      <c r="D17" s="7" t="n">
        <v>57</v>
      </c>
    </row>
    <row r="18" customFormat="false" ht="15" hidden="false" customHeight="true" outlineLevel="0" collapsed="false">
      <c r="A18" s="3" t="s">
        <v>74</v>
      </c>
      <c r="B18" s="7" t="n">
        <v>95.6</v>
      </c>
      <c r="C18" s="7" t="n">
        <v>10.1</v>
      </c>
      <c r="D18" s="7" t="n">
        <v>44</v>
      </c>
    </row>
    <row r="19" customFormat="false" ht="15" hidden="false" customHeight="true" outlineLevel="0" collapsed="false">
      <c r="A19" s="3" t="s">
        <v>164</v>
      </c>
      <c r="B19" s="7" t="n">
        <v>140.4</v>
      </c>
      <c r="C19" s="7" t="n">
        <v>13.5</v>
      </c>
      <c r="D19" s="7" t="n">
        <v>56</v>
      </c>
    </row>
    <row r="20" customFormat="false" ht="15" hidden="false" customHeight="true" outlineLevel="0" collapsed="false">
      <c r="A20" s="3" t="s">
        <v>165</v>
      </c>
      <c r="B20" s="7" t="n">
        <v>137.2</v>
      </c>
      <c r="C20" s="7" t="n">
        <v>14.3</v>
      </c>
      <c r="D20" s="7" t="n">
        <v>57</v>
      </c>
    </row>
    <row r="21" customFormat="false" ht="15.75" hidden="false" customHeight="true" outlineLevel="0" collapsed="false">
      <c r="A21" s="3" t="s">
        <v>70</v>
      </c>
      <c r="B21" s="7" t="n">
        <v>136.7</v>
      </c>
      <c r="C21" s="7" t="n">
        <v>15.2</v>
      </c>
      <c r="D21" s="7" t="n">
        <v>57</v>
      </c>
    </row>
    <row r="22" customFormat="false" ht="15.75" hidden="false" customHeight="true" outlineLevel="0" collapsed="false">
      <c r="A22" s="3" t="s">
        <v>69</v>
      </c>
      <c r="B22" s="7" t="n">
        <v>140.5</v>
      </c>
      <c r="C22" s="7" t="n">
        <v>18.1</v>
      </c>
      <c r="D22" s="7" t="n">
        <v>57</v>
      </c>
    </row>
    <row r="23" customFormat="false" ht="15.75" hidden="false" customHeight="true" outlineLevel="0" collapsed="false">
      <c r="A23" s="3" t="s">
        <v>71</v>
      </c>
      <c r="B23" s="7" t="n">
        <v>139.2</v>
      </c>
      <c r="C23" s="7" t="n">
        <v>24.5</v>
      </c>
      <c r="D23" s="7" t="n">
        <v>23</v>
      </c>
    </row>
    <row r="24" customFormat="false" ht="15.75" hidden="false" customHeight="true" outlineLevel="0" collapsed="false">
      <c r="A24" s="3" t="s">
        <v>166</v>
      </c>
      <c r="B24" s="7" t="n">
        <v>155.2</v>
      </c>
      <c r="C24" s="7" t="n">
        <v>19.5</v>
      </c>
      <c r="D24" s="7" t="n">
        <v>56</v>
      </c>
    </row>
    <row r="25" customFormat="false" ht="15.75" hidden="false" customHeight="true" outlineLevel="0" collapsed="false">
      <c r="A25" s="3" t="s">
        <v>167</v>
      </c>
      <c r="B25" s="7" t="n">
        <v>154.1</v>
      </c>
      <c r="C25" s="7" t="n">
        <v>18.5</v>
      </c>
      <c r="D25" s="7" t="n">
        <v>57</v>
      </c>
    </row>
    <row r="26" customFormat="false" ht="15.75" hidden="false" customHeight="true" outlineLevel="0" collapsed="false">
      <c r="A26" s="3" t="s">
        <v>65</v>
      </c>
      <c r="B26" s="7" t="n">
        <v>152.3</v>
      </c>
      <c r="C26" s="7" t="n">
        <v>22.1</v>
      </c>
      <c r="D26" s="7" t="n">
        <v>57</v>
      </c>
    </row>
    <row r="27" customFormat="false" ht="15.75" hidden="false" customHeight="true" outlineLevel="0" collapsed="false">
      <c r="A27" s="3" t="s">
        <v>64</v>
      </c>
      <c r="B27" s="7" t="n">
        <v>156.6</v>
      </c>
      <c r="C27" s="7" t="n">
        <v>18.7</v>
      </c>
      <c r="D27" s="7" t="n">
        <v>57</v>
      </c>
    </row>
    <row r="28" customFormat="false" ht="15.75" hidden="false" customHeight="true" outlineLevel="0" collapsed="false">
      <c r="A28" s="3" t="s">
        <v>67</v>
      </c>
      <c r="B28" s="7" t="n">
        <v>153.7</v>
      </c>
      <c r="C28" s="7" t="n">
        <v>19.8</v>
      </c>
      <c r="D28" s="7" t="n">
        <v>56</v>
      </c>
    </row>
    <row r="29" customFormat="false" ht="15.75" hidden="false" customHeight="true" outlineLevel="0" collapsed="false">
      <c r="A29" s="3" t="s">
        <v>80</v>
      </c>
      <c r="B29" s="7" t="n">
        <v>61.5</v>
      </c>
      <c r="C29" s="7" t="n">
        <v>9</v>
      </c>
      <c r="D29" s="7" t="n">
        <v>56</v>
      </c>
    </row>
    <row r="30" customFormat="false" ht="15.75" hidden="false" customHeight="true" outlineLevel="0" collapsed="false">
      <c r="A30" s="3" t="s">
        <v>77</v>
      </c>
      <c r="B30" s="7" t="n">
        <v>61.2</v>
      </c>
      <c r="C30" s="7" t="n">
        <v>8.6</v>
      </c>
      <c r="D30" s="7" t="n">
        <v>57</v>
      </c>
    </row>
    <row r="31" customFormat="false" ht="15.75" hidden="false" customHeight="true" outlineLevel="0" collapsed="false">
      <c r="A31" s="3" t="s">
        <v>79</v>
      </c>
      <c r="B31" s="7" t="n">
        <v>61.4</v>
      </c>
      <c r="C31" s="7" t="n">
        <v>9.1</v>
      </c>
      <c r="D31" s="7" t="n">
        <v>57</v>
      </c>
    </row>
    <row r="32" customFormat="false" ht="15.75" hidden="false" customHeight="true" outlineLevel="0" collapsed="false">
      <c r="A32" s="3" t="s">
        <v>75</v>
      </c>
      <c r="B32" s="7" t="n">
        <v>60.9</v>
      </c>
      <c r="C32" s="7" t="n">
        <v>9.2</v>
      </c>
      <c r="D32" s="7" t="n">
        <v>57</v>
      </c>
    </row>
    <row r="33" customFormat="false" ht="15.75" hidden="false" customHeight="true" outlineLevel="0" collapsed="false">
      <c r="A33" s="3" t="s">
        <v>81</v>
      </c>
      <c r="B33" s="7" t="n">
        <v>61.4</v>
      </c>
      <c r="C33" s="7" t="n">
        <v>9.9</v>
      </c>
      <c r="D33" s="7" t="n">
        <v>56</v>
      </c>
    </row>
    <row r="34" customFormat="false" ht="15.75" hidden="false" customHeight="true" outlineLevel="0" collapsed="false">
      <c r="A34" s="3" t="s">
        <v>85</v>
      </c>
      <c r="B34" s="7" t="n">
        <v>131.4</v>
      </c>
      <c r="C34" s="7" t="n">
        <v>17.8</v>
      </c>
      <c r="D34" s="7" t="n">
        <v>41</v>
      </c>
    </row>
    <row r="35" customFormat="false" ht="15.75" hidden="false" customHeight="true" outlineLevel="0" collapsed="false">
      <c r="A35" s="3" t="s">
        <v>83</v>
      </c>
      <c r="B35" s="7" t="n">
        <v>130</v>
      </c>
      <c r="C35" s="7" t="n">
        <v>21.1</v>
      </c>
      <c r="D35" s="7" t="n">
        <v>41</v>
      </c>
    </row>
    <row r="36" customFormat="false" ht="15.75" hidden="false" customHeight="true" outlineLevel="0" collapsed="false">
      <c r="A36" s="3" t="s">
        <v>84</v>
      </c>
      <c r="B36" s="7" t="n">
        <v>135.1</v>
      </c>
      <c r="C36" s="7" t="n">
        <v>29.1</v>
      </c>
      <c r="D36" s="7" t="n">
        <v>41</v>
      </c>
    </row>
    <row r="37" customFormat="false" ht="15.75" hidden="false" customHeight="true" outlineLevel="0" collapsed="false">
      <c r="A37" s="3" t="s">
        <v>82</v>
      </c>
      <c r="B37" s="7" t="n">
        <v>127.8</v>
      </c>
      <c r="C37" s="7" t="n">
        <v>19.9</v>
      </c>
      <c r="D37" s="7" t="n">
        <v>41</v>
      </c>
    </row>
    <row r="38" customFormat="false" ht="15.75" hidden="false" customHeight="true" outlineLevel="0" collapsed="false">
      <c r="A38" s="3" t="s">
        <v>86</v>
      </c>
      <c r="B38" s="7" t="n">
        <v>130.1</v>
      </c>
      <c r="C38" s="7" t="n">
        <v>20.3</v>
      </c>
      <c r="D38" s="7" t="n">
        <v>41</v>
      </c>
    </row>
    <row r="39" customFormat="false" ht="15.75" hidden="false" customHeight="true" outlineLevel="0" collapsed="false">
      <c r="A39" s="3" t="s">
        <v>90</v>
      </c>
      <c r="B39" s="7" t="n">
        <v>53.5</v>
      </c>
      <c r="C39" s="7" t="n">
        <v>6.6</v>
      </c>
      <c r="D39" s="7" t="n">
        <v>39</v>
      </c>
    </row>
    <row r="40" customFormat="false" ht="15.75" hidden="false" customHeight="true" outlineLevel="0" collapsed="false">
      <c r="A40" s="3" t="s">
        <v>88</v>
      </c>
      <c r="B40" s="7" t="n">
        <v>53.2</v>
      </c>
      <c r="C40" s="7" t="n">
        <v>8.2</v>
      </c>
      <c r="D40" s="7" t="n">
        <v>41</v>
      </c>
    </row>
    <row r="41" customFormat="false" ht="15.75" hidden="false" customHeight="true" outlineLevel="0" collapsed="false">
      <c r="A41" s="3" t="s">
        <v>89</v>
      </c>
      <c r="B41" s="7" t="n">
        <v>54.4</v>
      </c>
      <c r="C41" s="7" t="n">
        <v>6.5</v>
      </c>
      <c r="D41" s="7" t="n">
        <v>40</v>
      </c>
    </row>
    <row r="42" customFormat="false" ht="15.75" hidden="false" customHeight="true" outlineLevel="0" collapsed="false">
      <c r="A42" s="3" t="s">
        <v>87</v>
      </c>
      <c r="B42" s="7" t="n">
        <v>53.9</v>
      </c>
      <c r="C42" s="7" t="n">
        <v>6.4</v>
      </c>
      <c r="D42" s="7" t="n">
        <v>40</v>
      </c>
    </row>
    <row r="43" customFormat="false" ht="15.75" hidden="false" customHeight="true" outlineLevel="0" collapsed="false">
      <c r="A43" s="3" t="s">
        <v>91</v>
      </c>
      <c r="B43" s="7" t="n">
        <v>54.7</v>
      </c>
      <c r="C43" s="7" t="n">
        <v>8.5</v>
      </c>
      <c r="D43" s="7" t="n">
        <v>40</v>
      </c>
    </row>
    <row r="44" customFormat="false" ht="15.75" hidden="false" customHeight="true" outlineLevel="0" collapsed="false">
      <c r="A44" s="3" t="s">
        <v>97</v>
      </c>
      <c r="B44" s="7" t="n">
        <v>94</v>
      </c>
      <c r="C44" s="7" t="n">
        <v>9.7</v>
      </c>
      <c r="D44" s="7" t="n">
        <v>40</v>
      </c>
    </row>
    <row r="45" customFormat="false" ht="15.75" hidden="false" customHeight="true" outlineLevel="0" collapsed="false">
      <c r="A45" s="3" t="s">
        <v>95</v>
      </c>
      <c r="B45" s="7" t="n">
        <v>93.1</v>
      </c>
      <c r="C45" s="7" t="n">
        <v>9.7</v>
      </c>
      <c r="D45" s="7" t="n">
        <v>39</v>
      </c>
    </row>
    <row r="46" customFormat="false" ht="15.75" hidden="false" customHeight="true" outlineLevel="0" collapsed="false">
      <c r="A46" s="3" t="s">
        <v>96</v>
      </c>
      <c r="B46" s="7" t="n">
        <v>93.5</v>
      </c>
      <c r="C46" s="7" t="n">
        <v>9.1</v>
      </c>
      <c r="D46" s="7" t="n">
        <v>40</v>
      </c>
    </row>
    <row r="47" customFormat="false" ht="15.75" hidden="false" customHeight="true" outlineLevel="0" collapsed="false">
      <c r="A47" s="3" t="s">
        <v>94</v>
      </c>
      <c r="B47" s="7" t="n">
        <v>94.5</v>
      </c>
      <c r="C47" s="7" t="n">
        <v>11.9</v>
      </c>
      <c r="D47" s="7" t="n">
        <v>40</v>
      </c>
    </row>
    <row r="48" customFormat="false" ht="15.75" hidden="false" customHeight="true" outlineLevel="0" collapsed="false">
      <c r="A48" s="3" t="s">
        <v>98</v>
      </c>
      <c r="B48" s="7" t="n">
        <v>94.7</v>
      </c>
      <c r="C48" s="7" t="n">
        <v>8.4</v>
      </c>
      <c r="D48" s="7" t="n">
        <v>40</v>
      </c>
    </row>
    <row r="49" customFormat="false" ht="15.75" hidden="false" customHeight="true" outlineLevel="0" collapsed="false">
      <c r="A49" s="3"/>
      <c r="B49" s="3"/>
      <c r="C49" s="3"/>
      <c r="D49" s="3"/>
    </row>
    <row r="50" customFormat="false" ht="15.75" hidden="false" customHeight="true" outlineLevel="0" collapsed="false">
      <c r="A50" s="3" t="s">
        <v>168</v>
      </c>
      <c r="B50" s="3"/>
      <c r="C50" s="3"/>
      <c r="D50" s="3"/>
    </row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"/>
    <col collapsed="false" customWidth="true" hidden="false" outlineLevel="0" max="3" min="3" style="1" width="13"/>
    <col collapsed="false" customWidth="true" hidden="false" outlineLevel="0" max="6" min="4" style="1" width="9"/>
    <col collapsed="false" customWidth="true" hidden="false" outlineLevel="0" max="7" min="7" style="1" width="20"/>
    <col collapsed="false" customWidth="true" hidden="false" outlineLevel="0" max="26" min="8" style="1" width="8.71"/>
  </cols>
  <sheetData>
    <row r="1" customFormat="false" ht="15" hidden="false" customHeight="true" outlineLevel="0" collapsed="false">
      <c r="A1" s="2" t="s">
        <v>169</v>
      </c>
      <c r="B1" s="3"/>
      <c r="C1" s="3"/>
      <c r="D1" s="3"/>
      <c r="E1" s="3"/>
      <c r="F1" s="3"/>
      <c r="G1" s="3"/>
    </row>
    <row r="2" customFormat="false" ht="15" hidden="false" customHeight="true" outlineLevel="0" collapsed="false">
      <c r="A2" s="2" t="s">
        <v>100</v>
      </c>
      <c r="B2" s="2" t="s">
        <v>170</v>
      </c>
      <c r="C2" s="2" t="s">
        <v>171</v>
      </c>
      <c r="D2" s="2" t="s">
        <v>172</v>
      </c>
      <c r="E2" s="2" t="s">
        <v>173</v>
      </c>
      <c r="F2" s="2" t="s">
        <v>174</v>
      </c>
      <c r="G2" s="2" t="s">
        <v>175</v>
      </c>
    </row>
    <row r="3" customFormat="false" ht="15" hidden="false" customHeight="true" outlineLevel="0" collapsed="false">
      <c r="A3" s="3" t="s">
        <v>52</v>
      </c>
      <c r="B3" s="7" t="n">
        <v>0.34</v>
      </c>
      <c r="C3" s="7" t="n">
        <v>0</v>
      </c>
      <c r="D3" s="7" t="n">
        <v>0.08</v>
      </c>
      <c r="E3" s="7" t="n">
        <v>0.62</v>
      </c>
      <c r="F3" s="7" t="n">
        <v>0</v>
      </c>
      <c r="G3" s="7" t="n">
        <v>1</v>
      </c>
    </row>
    <row r="4" customFormat="false" ht="15" hidden="false" customHeight="true" outlineLevel="0" collapsed="false">
      <c r="A4" s="3" t="s">
        <v>55</v>
      </c>
      <c r="B4" s="7" t="n">
        <v>0.34</v>
      </c>
      <c r="C4" s="7" t="n">
        <v>1.03</v>
      </c>
      <c r="D4" s="7" t="n">
        <v>0.08</v>
      </c>
      <c r="E4" s="7" t="n">
        <v>0.47</v>
      </c>
      <c r="F4" s="7" t="n">
        <v>1.03</v>
      </c>
      <c r="G4" s="7" t="n">
        <v>14.39</v>
      </c>
    </row>
    <row r="5" customFormat="false" ht="15" hidden="false" customHeight="true" outlineLevel="0" collapsed="false">
      <c r="A5" s="3" t="s">
        <v>58</v>
      </c>
      <c r="B5" s="7" t="n">
        <v>0.34</v>
      </c>
      <c r="C5" s="7" t="n">
        <v>1.03</v>
      </c>
      <c r="D5" s="7" t="n">
        <v>0.08</v>
      </c>
      <c r="E5" s="7" t="n">
        <v>0.54</v>
      </c>
      <c r="F5" s="7" t="n">
        <v>1.24</v>
      </c>
      <c r="G5" s="7" t="n">
        <v>8.71</v>
      </c>
    </row>
    <row r="6" customFormat="false" ht="15" hidden="false" customHeight="true" outlineLevel="0" collapsed="false">
      <c r="A6" s="3" t="s">
        <v>60</v>
      </c>
      <c r="B6" s="7" t="n">
        <v>0.34</v>
      </c>
      <c r="C6" s="7" t="n">
        <v>1.03</v>
      </c>
      <c r="D6" s="7" t="n">
        <v>0.08</v>
      </c>
      <c r="E6" s="7" t="n">
        <v>0.22</v>
      </c>
      <c r="F6" s="7" t="n">
        <v>0</v>
      </c>
      <c r="G6" s="7" t="n">
        <v>1</v>
      </c>
    </row>
    <row r="7" customFormat="false" ht="15" hidden="false" customHeight="true" outlineLevel="0" collapsed="false">
      <c r="A7" s="3" t="s">
        <v>62</v>
      </c>
      <c r="B7" s="7" t="n">
        <v>0.34</v>
      </c>
      <c r="C7" s="7" t="n">
        <v>1.03</v>
      </c>
      <c r="D7" s="7" t="n">
        <v>0.08</v>
      </c>
      <c r="E7" s="7" t="n">
        <v>0.23</v>
      </c>
      <c r="F7" s="7" t="n">
        <v>0.89</v>
      </c>
      <c r="G7" s="7" t="n">
        <v>7.08</v>
      </c>
    </row>
    <row r="8" customFormat="false" ht="15" hidden="false" customHeight="true" outlineLevel="0" collapsed="false">
      <c r="A8" s="3" t="s">
        <v>63</v>
      </c>
      <c r="B8" s="7" t="n">
        <v>0.34</v>
      </c>
      <c r="C8" s="7" t="n">
        <v>1.03</v>
      </c>
      <c r="D8" s="7" t="n">
        <v>0.08</v>
      </c>
      <c r="E8" s="7" t="n">
        <v>0.24</v>
      </c>
      <c r="F8" s="7" t="n">
        <v>0</v>
      </c>
      <c r="G8" s="7" t="n">
        <v>1</v>
      </c>
    </row>
    <row r="9" customFormat="false" ht="15" hidden="false" customHeight="true" outlineLevel="0" collapsed="false">
      <c r="A9" s="3" t="s">
        <v>65</v>
      </c>
      <c r="B9" s="7" t="n">
        <v>0.34</v>
      </c>
      <c r="C9" s="7" t="n">
        <v>1.03</v>
      </c>
      <c r="D9" s="7" t="n">
        <v>0.08</v>
      </c>
      <c r="E9" s="7" t="n">
        <v>0.29</v>
      </c>
      <c r="F9" s="7" t="n">
        <v>0.62</v>
      </c>
      <c r="G9" s="7" t="n">
        <v>3.62</v>
      </c>
    </row>
    <row r="10" customFormat="false" ht="15" hidden="false" customHeight="true" outlineLevel="0" collapsed="false">
      <c r="A10" s="3" t="s">
        <v>67</v>
      </c>
      <c r="B10" s="7" t="n">
        <v>0.34</v>
      </c>
      <c r="C10" s="7" t="n">
        <v>1.03</v>
      </c>
      <c r="D10" s="7" t="n">
        <v>0.08</v>
      </c>
      <c r="E10" s="7" t="n">
        <v>0.26</v>
      </c>
      <c r="F10" s="7" t="n">
        <v>0.7</v>
      </c>
      <c r="G10" s="7" t="n">
        <v>8.31</v>
      </c>
    </row>
    <row r="11" customFormat="false" ht="15" hidden="false" customHeight="true" outlineLevel="0" collapsed="false">
      <c r="A11" s="3" t="s">
        <v>68</v>
      </c>
      <c r="B11" s="7" t="n">
        <v>0.34</v>
      </c>
      <c r="C11" s="7" t="n">
        <v>1.03</v>
      </c>
      <c r="D11" s="7" t="n">
        <v>0.08</v>
      </c>
      <c r="E11" s="7" t="n">
        <v>0.26</v>
      </c>
      <c r="F11" s="7" t="n">
        <v>0</v>
      </c>
      <c r="G11" s="7" t="n">
        <v>1</v>
      </c>
    </row>
    <row r="12" customFormat="false" ht="15" hidden="false" customHeight="true" outlineLevel="0" collapsed="false">
      <c r="A12" s="3" t="s">
        <v>70</v>
      </c>
      <c r="B12" s="7" t="n">
        <v>0.34</v>
      </c>
      <c r="C12" s="7" t="n">
        <v>1.03</v>
      </c>
      <c r="D12" s="7" t="n">
        <v>0.08</v>
      </c>
      <c r="E12" s="7" t="n">
        <v>0.22</v>
      </c>
      <c r="F12" s="7" t="n">
        <v>0.5</v>
      </c>
      <c r="G12" s="7" t="n">
        <v>3.66</v>
      </c>
    </row>
    <row r="13" customFormat="false" ht="15" hidden="false" customHeight="true" outlineLevel="0" collapsed="false">
      <c r="A13" s="3" t="s">
        <v>71</v>
      </c>
      <c r="B13" s="7" t="n">
        <v>0.34</v>
      </c>
      <c r="C13" s="7" t="n">
        <v>1.03</v>
      </c>
      <c r="D13" s="7" t="n">
        <v>0.08</v>
      </c>
      <c r="E13" s="7" t="n">
        <v>0.36</v>
      </c>
      <c r="F13" s="7" t="n">
        <v>1.21</v>
      </c>
      <c r="G13" s="7" t="n">
        <v>35.9</v>
      </c>
    </row>
    <row r="14" customFormat="false" ht="15" hidden="false" customHeight="true" outlineLevel="0" collapsed="false">
      <c r="A14" s="3" t="s">
        <v>72</v>
      </c>
      <c r="B14" s="7" t="n">
        <v>0.34</v>
      </c>
      <c r="C14" s="7" t="n">
        <v>1.03</v>
      </c>
      <c r="D14" s="7" t="n">
        <v>0.08</v>
      </c>
      <c r="E14" s="7" t="n">
        <v>0.3</v>
      </c>
      <c r="F14" s="7" t="n">
        <v>0</v>
      </c>
      <c r="G14" s="7" t="n">
        <v>1</v>
      </c>
    </row>
    <row r="15" customFormat="false" ht="15" hidden="false" customHeight="true" outlineLevel="0" collapsed="false">
      <c r="A15" s="3" t="s">
        <v>74</v>
      </c>
      <c r="B15" s="7" t="n">
        <v>0.34</v>
      </c>
      <c r="C15" s="7" t="n">
        <v>1.03</v>
      </c>
      <c r="D15" s="7" t="n">
        <v>0.08</v>
      </c>
      <c r="E15" s="7" t="n">
        <v>0.21</v>
      </c>
      <c r="F15" s="7" t="n">
        <v>1.03</v>
      </c>
      <c r="G15" s="7" t="n">
        <v>6.84</v>
      </c>
    </row>
    <row r="16" customFormat="false" ht="15" hidden="false" customHeight="true" outlineLevel="0" collapsed="false">
      <c r="A16" s="3" t="s">
        <v>75</v>
      </c>
      <c r="B16" s="7" t="n">
        <v>0.34</v>
      </c>
      <c r="C16" s="7" t="n">
        <v>1.03</v>
      </c>
      <c r="D16" s="7" t="n">
        <v>0.08</v>
      </c>
      <c r="E16" s="7" t="n">
        <v>0.3</v>
      </c>
      <c r="F16" s="7" t="n">
        <v>0.71</v>
      </c>
      <c r="G16" s="7" t="n">
        <v>5.82</v>
      </c>
    </row>
    <row r="17" customFormat="false" ht="15" hidden="false" customHeight="true" outlineLevel="0" collapsed="false">
      <c r="A17" s="3" t="s">
        <v>77</v>
      </c>
      <c r="B17" s="7" t="n">
        <v>0.34</v>
      </c>
      <c r="C17" s="7" t="n">
        <v>1.03</v>
      </c>
      <c r="D17" s="7" t="n">
        <v>0.08</v>
      </c>
      <c r="E17" s="7" t="n">
        <v>0.28</v>
      </c>
      <c r="F17" s="7" t="n">
        <v>0.48</v>
      </c>
      <c r="G17" s="7" t="n">
        <v>2.07</v>
      </c>
    </row>
    <row r="18" customFormat="false" ht="15" hidden="false" customHeight="true" outlineLevel="0" collapsed="false">
      <c r="A18" s="3" t="s">
        <v>79</v>
      </c>
      <c r="B18" s="7" t="n">
        <v>0.34</v>
      </c>
      <c r="C18" s="7" t="n">
        <v>1.03</v>
      </c>
      <c r="D18" s="7" t="n">
        <v>0.08</v>
      </c>
      <c r="E18" s="7" t="n">
        <v>0.3</v>
      </c>
      <c r="F18" s="7" t="n">
        <v>0.68</v>
      </c>
      <c r="G18" s="7" t="n">
        <v>3.21</v>
      </c>
    </row>
    <row r="19" customFormat="false" ht="15" hidden="false" customHeight="true" outlineLevel="0" collapsed="false">
      <c r="A19" s="3" t="s">
        <v>80</v>
      </c>
      <c r="B19" s="7" t="n">
        <v>0.34</v>
      </c>
      <c r="C19" s="7" t="n">
        <v>1.03</v>
      </c>
      <c r="D19" s="7" t="n">
        <v>0.08</v>
      </c>
      <c r="E19" s="7" t="n">
        <v>0.29</v>
      </c>
      <c r="F19" s="7" t="n">
        <v>0.96</v>
      </c>
      <c r="G19" s="7" t="n">
        <v>4.93</v>
      </c>
    </row>
    <row r="20" customFormat="false" ht="15" hidden="false" customHeight="true" outlineLevel="0" collapsed="false">
      <c r="A20" s="3" t="s">
        <v>81</v>
      </c>
      <c r="B20" s="7" t="n">
        <v>0.34</v>
      </c>
      <c r="C20" s="7" t="n">
        <v>1.03</v>
      </c>
      <c r="D20" s="7" t="n">
        <v>0.08</v>
      </c>
      <c r="E20" s="7" t="n">
        <v>0.33</v>
      </c>
      <c r="F20" s="7" t="n">
        <v>1</v>
      </c>
      <c r="G20" s="7" t="n">
        <v>5.62</v>
      </c>
    </row>
    <row r="21" customFormat="false" ht="15.75" hidden="false" customHeight="true" outlineLevel="0" collapsed="false">
      <c r="A21" s="3" t="s">
        <v>82</v>
      </c>
      <c r="B21" s="7" t="n">
        <v>0.34</v>
      </c>
      <c r="C21" s="7" t="n">
        <v>1.03</v>
      </c>
      <c r="D21" s="7" t="n">
        <v>0.08</v>
      </c>
      <c r="E21" s="7" t="n">
        <v>0.31</v>
      </c>
      <c r="F21" s="7" t="n">
        <v>0.68</v>
      </c>
      <c r="G21" s="7" t="n">
        <v>2.71</v>
      </c>
    </row>
    <row r="22" customFormat="false" ht="15.75" hidden="false" customHeight="true" outlineLevel="0" collapsed="false">
      <c r="A22" s="3" t="s">
        <v>83</v>
      </c>
      <c r="B22" s="7" t="n">
        <v>0.34</v>
      </c>
      <c r="C22" s="7" t="n">
        <v>1.03</v>
      </c>
      <c r="D22" s="7" t="n">
        <v>0.08</v>
      </c>
      <c r="E22" s="7" t="n">
        <v>0.33</v>
      </c>
      <c r="F22" s="7" t="n">
        <v>0.53</v>
      </c>
      <c r="G22" s="7" t="n">
        <v>2.06</v>
      </c>
    </row>
    <row r="23" customFormat="false" ht="15.75" hidden="false" customHeight="true" outlineLevel="0" collapsed="false">
      <c r="A23" s="3" t="s">
        <v>84</v>
      </c>
      <c r="B23" s="7" t="n">
        <v>0.34</v>
      </c>
      <c r="C23" s="7" t="n">
        <v>1.03</v>
      </c>
      <c r="D23" s="7" t="n">
        <v>0.08</v>
      </c>
      <c r="E23" s="7" t="n">
        <v>0.44</v>
      </c>
      <c r="F23" s="7" t="n">
        <v>0.65</v>
      </c>
      <c r="G23" s="7" t="n">
        <v>2.7</v>
      </c>
    </row>
    <row r="24" customFormat="false" ht="15.75" hidden="false" customHeight="true" outlineLevel="0" collapsed="false">
      <c r="A24" s="3" t="s">
        <v>85</v>
      </c>
      <c r="B24" s="7" t="n">
        <v>0.34</v>
      </c>
      <c r="C24" s="7" t="n">
        <v>1.03</v>
      </c>
      <c r="D24" s="7" t="n">
        <v>0.08</v>
      </c>
      <c r="E24" s="7" t="n">
        <v>0.27</v>
      </c>
      <c r="F24" s="7" t="n">
        <v>0.77</v>
      </c>
      <c r="G24" s="7" t="n">
        <v>4.03</v>
      </c>
    </row>
    <row r="25" customFormat="false" ht="15.75" hidden="false" customHeight="true" outlineLevel="0" collapsed="false">
      <c r="A25" s="3" t="s">
        <v>86</v>
      </c>
      <c r="B25" s="7" t="n">
        <v>0.34</v>
      </c>
      <c r="C25" s="7" t="n">
        <v>1.03</v>
      </c>
      <c r="D25" s="7" t="n">
        <v>0.08</v>
      </c>
      <c r="E25" s="7" t="n">
        <v>0.31</v>
      </c>
      <c r="F25" s="7" t="n">
        <v>1.03</v>
      </c>
      <c r="G25" s="7" t="n">
        <v>5.31</v>
      </c>
    </row>
    <row r="26" customFormat="false" ht="15.75" hidden="false" customHeight="true" outlineLevel="0" collapsed="false">
      <c r="A26" s="3" t="s">
        <v>87</v>
      </c>
      <c r="B26" s="7" t="n">
        <v>0.34</v>
      </c>
      <c r="C26" s="7" t="n">
        <v>1.03</v>
      </c>
      <c r="D26" s="7" t="n">
        <v>0.08</v>
      </c>
      <c r="E26" s="7" t="n">
        <v>0.24</v>
      </c>
      <c r="F26" s="7" t="n">
        <v>0.57</v>
      </c>
      <c r="G26" s="7" t="n">
        <v>2.51</v>
      </c>
    </row>
    <row r="27" customFormat="false" ht="15.75" hidden="false" customHeight="true" outlineLevel="0" collapsed="false">
      <c r="A27" s="3" t="s">
        <v>88</v>
      </c>
      <c r="B27" s="7" t="n">
        <v>0.34</v>
      </c>
      <c r="C27" s="7" t="n">
        <v>1.03</v>
      </c>
      <c r="D27" s="7" t="n">
        <v>0.08</v>
      </c>
      <c r="E27" s="7" t="n">
        <v>0.31</v>
      </c>
      <c r="F27" s="7" t="n">
        <v>0.48</v>
      </c>
      <c r="G27" s="7" t="n">
        <v>2.06</v>
      </c>
    </row>
    <row r="28" customFormat="false" ht="15.75" hidden="false" customHeight="true" outlineLevel="0" collapsed="false">
      <c r="A28" s="3" t="s">
        <v>89</v>
      </c>
      <c r="B28" s="7" t="n">
        <v>0.34</v>
      </c>
      <c r="C28" s="7" t="n">
        <v>1.03</v>
      </c>
      <c r="D28" s="7" t="n">
        <v>0.08</v>
      </c>
      <c r="E28" s="7" t="n">
        <v>0.24</v>
      </c>
      <c r="F28" s="7" t="n">
        <v>0.55</v>
      </c>
      <c r="G28" s="7" t="n">
        <v>2.61</v>
      </c>
    </row>
    <row r="29" customFormat="false" ht="15.75" hidden="false" customHeight="true" outlineLevel="0" collapsed="false">
      <c r="A29" s="3" t="s">
        <v>90</v>
      </c>
      <c r="B29" s="7" t="n">
        <v>0.34</v>
      </c>
      <c r="C29" s="7" t="n">
        <v>1.03</v>
      </c>
      <c r="D29" s="7" t="n">
        <v>0.08</v>
      </c>
      <c r="E29" s="7" t="n">
        <v>0.25</v>
      </c>
      <c r="F29" s="7" t="n">
        <v>0.65</v>
      </c>
      <c r="G29" s="7" t="n">
        <v>3.19</v>
      </c>
    </row>
    <row r="30" customFormat="false" ht="15.75" hidden="false" customHeight="true" outlineLevel="0" collapsed="false">
      <c r="A30" s="3" t="s">
        <v>91</v>
      </c>
      <c r="B30" s="7" t="n">
        <v>0.34</v>
      </c>
      <c r="C30" s="7" t="n">
        <v>1.03</v>
      </c>
      <c r="D30" s="7" t="n">
        <v>0.08</v>
      </c>
      <c r="E30" s="7" t="n">
        <v>0.31</v>
      </c>
      <c r="F30" s="7" t="n">
        <v>0.62</v>
      </c>
      <c r="G30" s="7" t="n">
        <v>3.66</v>
      </c>
    </row>
    <row r="31" customFormat="false" ht="15.75" hidden="false" customHeight="true" outlineLevel="0" collapsed="false">
      <c r="A31" s="3" t="s">
        <v>92</v>
      </c>
      <c r="B31" s="7" t="n">
        <v>0.34</v>
      </c>
      <c r="C31" s="7" t="n">
        <v>1.03</v>
      </c>
      <c r="D31" s="7" t="n">
        <v>0.08</v>
      </c>
      <c r="E31" s="7" t="n">
        <v>0.31</v>
      </c>
      <c r="F31" s="7" t="n">
        <v>0.62</v>
      </c>
      <c r="G31" s="7" t="n">
        <v>3.66</v>
      </c>
    </row>
    <row r="32" customFormat="false" ht="15.75" hidden="false" customHeight="true" outlineLevel="0" collapsed="false">
      <c r="A32" s="3" t="s">
        <v>94</v>
      </c>
      <c r="B32" s="7" t="n">
        <v>0.34</v>
      </c>
      <c r="C32" s="7" t="n">
        <v>1.03</v>
      </c>
      <c r="D32" s="7" t="n">
        <v>0.08</v>
      </c>
      <c r="E32" s="7" t="n">
        <v>0.25</v>
      </c>
      <c r="F32" s="7" t="n">
        <v>0.46</v>
      </c>
      <c r="G32" s="7" t="n">
        <v>2.28</v>
      </c>
    </row>
    <row r="33" customFormat="false" ht="15.75" hidden="false" customHeight="true" outlineLevel="0" collapsed="false">
      <c r="A33" s="3" t="s">
        <v>95</v>
      </c>
      <c r="B33" s="7" t="n">
        <v>0.34</v>
      </c>
      <c r="C33" s="7" t="n">
        <v>1.03</v>
      </c>
      <c r="D33" s="7" t="n">
        <v>0.08</v>
      </c>
      <c r="E33" s="7" t="n">
        <v>0.21</v>
      </c>
      <c r="F33" s="7" t="n">
        <v>0.42</v>
      </c>
      <c r="G33" s="7" t="n">
        <v>2.41</v>
      </c>
    </row>
    <row r="34" customFormat="false" ht="15.75" hidden="false" customHeight="true" outlineLevel="0" collapsed="false">
      <c r="A34" s="3" t="s">
        <v>96</v>
      </c>
      <c r="B34" s="7" t="n">
        <v>0.34</v>
      </c>
      <c r="C34" s="7" t="n">
        <v>1.03</v>
      </c>
      <c r="D34" s="7" t="n">
        <v>0.08</v>
      </c>
      <c r="E34" s="7" t="n">
        <v>0.2</v>
      </c>
      <c r="F34" s="7" t="n">
        <v>0.48</v>
      </c>
      <c r="G34" s="7" t="n">
        <v>2.48</v>
      </c>
    </row>
    <row r="35" customFormat="false" ht="15.75" hidden="false" customHeight="true" outlineLevel="0" collapsed="false">
      <c r="A35" s="3" t="s">
        <v>97</v>
      </c>
      <c r="B35" s="7" t="n">
        <v>0.34</v>
      </c>
      <c r="C35" s="7" t="n">
        <v>1.03</v>
      </c>
      <c r="D35" s="7" t="n">
        <v>0.08</v>
      </c>
      <c r="E35" s="7" t="n">
        <v>0.21</v>
      </c>
      <c r="F35" s="7" t="n">
        <v>0.49</v>
      </c>
      <c r="G35" s="7" t="n">
        <v>2.8</v>
      </c>
    </row>
    <row r="36" customFormat="false" ht="15.75" hidden="false" customHeight="true" outlineLevel="0" collapsed="false">
      <c r="A36" s="3" t="s">
        <v>98</v>
      </c>
      <c r="B36" s="7" t="n">
        <v>0.34</v>
      </c>
      <c r="C36" s="7" t="n">
        <v>1.03</v>
      </c>
      <c r="D36" s="7" t="n">
        <v>0.08</v>
      </c>
      <c r="E36" s="7" t="n">
        <v>0.18</v>
      </c>
      <c r="F36" s="7" t="n">
        <v>0.59</v>
      </c>
      <c r="G36" s="7" t="n">
        <v>3.88</v>
      </c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</row>
    <row r="38" customFormat="false" ht="15.75" hidden="false" customHeight="true" outlineLevel="0" collapsed="false">
      <c r="A38" s="2" t="s">
        <v>176</v>
      </c>
      <c r="B38" s="3"/>
      <c r="C38" s="3"/>
      <c r="D38" s="3"/>
      <c r="E38" s="3"/>
      <c r="F38" s="3"/>
      <c r="G38" s="3"/>
    </row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2026-08-24T13:28:43Z</dcterms:created>
  <dc:creator>openpyxl</dc:creator>
  <dc:description/>
  <dc:language>en-US</dc:language>
  <cp:lastModifiedBy/>
  <dcterms:modified xsi:type="dcterms:W3CDTF">2026-08-24T14:24:57Z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